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acia\Downloads\"/>
    </mc:Choice>
  </mc:AlternateContent>
  <xr:revisionPtr revIDLastSave="0" documentId="13_ncr:1_{7381C5AA-76BD-4A4E-8767-CEC2551D6DDE}" xr6:coauthVersionLast="47" xr6:coauthVersionMax="47" xr10:uidLastSave="{00000000-0000-0000-0000-000000000000}"/>
  <bookViews>
    <workbookView xWindow="-98" yWindow="-98" windowWidth="20715" windowHeight="13155" activeTab="2" xr2:uid="{00000000-000D-0000-FFFF-FFFF00000000}"/>
  </bookViews>
  <sheets>
    <sheet name="Dataset Hypertension UK" sheetId="6" r:id="rId1"/>
    <sheet name="Pivot Table" sheetId="8" r:id="rId2"/>
    <sheet name="Dashboard" sheetId="9" r:id="rId3"/>
  </sheets>
  <definedNames>
    <definedName name="_xlnm._FilterDatabase" localSheetId="0" hidden="1">'Dataset Hypertension UK'!$A$1:$W$101</definedName>
    <definedName name="Slicer_Age_Range">#N/A</definedName>
    <definedName name="Slicer_Location">#N/A</definedName>
    <definedName name="Slicer_Residence">#N/A</definedName>
    <definedName name="Slicer_Sex">#N/A</definedName>
    <definedName name="Slicer_Treatment">#N/A</definedName>
  </definedNames>
  <calcPr calcId="191029"/>
  <pivotCaches>
    <pivotCache cacheId="136" r:id="rId4"/>
    <pivotCache cacheId="15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a="1"/>
  <c r="A3" i="6" s="1"/>
  <c r="A4" i="6" a="1"/>
  <c r="A4" i="6" s="1"/>
  <c r="A5" i="6" a="1"/>
  <c r="A5" i="6" s="1"/>
  <c r="A6" i="6" a="1"/>
  <c r="A6" i="6" s="1"/>
  <c r="A7" i="6" a="1"/>
  <c r="A7" i="6" s="1"/>
  <c r="A8" i="6" a="1"/>
  <c r="A8" i="6" s="1"/>
  <c r="A9" i="6" a="1"/>
  <c r="A9" i="6" s="1"/>
  <c r="A10" i="6" a="1"/>
  <c r="A10" i="6" s="1"/>
  <c r="A11" i="6" a="1"/>
  <c r="A11" i="6" s="1"/>
  <c r="A12" i="6" a="1"/>
  <c r="A12" i="6" s="1"/>
  <c r="A13" i="6" a="1"/>
  <c r="A13" i="6" s="1"/>
  <c r="A14" i="6" a="1"/>
  <c r="A14" i="6" s="1"/>
  <c r="A15" i="6" a="1"/>
  <c r="A15" i="6" s="1"/>
  <c r="A16" i="6" a="1"/>
  <c r="A16" i="6" s="1"/>
  <c r="A17" i="6" a="1"/>
  <c r="A17" i="6" s="1"/>
  <c r="A18" i="6" a="1"/>
  <c r="A18" i="6" s="1"/>
  <c r="A19" i="6" a="1"/>
  <c r="A19" i="6" s="1"/>
  <c r="A20" i="6" a="1"/>
  <c r="A20" i="6" s="1"/>
  <c r="A21" i="6" a="1"/>
  <c r="A21" i="6" s="1"/>
  <c r="A22" i="6" a="1"/>
  <c r="A22" i="6" s="1"/>
  <c r="A23" i="6" a="1"/>
  <c r="A23" i="6" s="1"/>
  <c r="A24" i="6" a="1"/>
  <c r="A24" i="6" s="1"/>
  <c r="A25" i="6" a="1"/>
  <c r="A25" i="6" s="1"/>
  <c r="A26" i="6" a="1"/>
  <c r="A26" i="6" s="1"/>
  <c r="A27" i="6" a="1"/>
  <c r="A27" i="6" s="1"/>
  <c r="A28" i="6" a="1"/>
  <c r="A28" i="6" s="1"/>
  <c r="A29" i="6" a="1"/>
  <c r="A29" i="6" s="1"/>
  <c r="A30" i="6" a="1"/>
  <c r="A30" i="6" s="1"/>
  <c r="A31" i="6" a="1"/>
  <c r="A31" i="6" s="1"/>
  <c r="A32" i="6" a="1"/>
  <c r="A32" i="6"/>
  <c r="A33" i="6" a="1"/>
  <c r="A33" i="6" s="1"/>
  <c r="A34" i="6" a="1"/>
  <c r="A34" i="6" s="1"/>
  <c r="A35" i="6" a="1"/>
  <c r="A35" i="6" s="1"/>
  <c r="A36" i="6" a="1"/>
  <c r="A36" i="6" s="1"/>
  <c r="A37" i="6" a="1"/>
  <c r="A37" i="6" s="1"/>
  <c r="A38" i="6" a="1"/>
  <c r="A38" i="6" s="1"/>
  <c r="A39" i="6" a="1"/>
  <c r="A39" i="6" s="1"/>
  <c r="A40" i="6" a="1"/>
  <c r="A40" i="6"/>
  <c r="A41" i="6" a="1"/>
  <c r="A41" i="6" s="1"/>
  <c r="A42" i="6" a="1"/>
  <c r="A42" i="6" s="1"/>
  <c r="A43" i="6" a="1"/>
  <c r="A43" i="6" s="1"/>
  <c r="A44" i="6" a="1"/>
  <c r="A44" i="6" s="1"/>
  <c r="A45" i="6" a="1"/>
  <c r="A45" i="6" s="1"/>
  <c r="A46" i="6" a="1"/>
  <c r="A46" i="6" s="1"/>
  <c r="A47" i="6" a="1"/>
  <c r="A47" i="6" s="1"/>
  <c r="A48" i="6" a="1"/>
  <c r="A48" i="6" s="1"/>
  <c r="A49" i="6" a="1"/>
  <c r="A49" i="6"/>
  <c r="A50" i="6" a="1"/>
  <c r="A50" i="6" s="1"/>
  <c r="A51" i="6" a="1"/>
  <c r="A51" i="6" s="1"/>
  <c r="A52" i="6" a="1"/>
  <c r="A52" i="6" s="1"/>
  <c r="A53" i="6" a="1"/>
  <c r="A53" i="6" s="1"/>
  <c r="A54" i="6" a="1"/>
  <c r="A54" i="6" s="1"/>
  <c r="A55" i="6" a="1"/>
  <c r="A55" i="6" s="1"/>
  <c r="A56" i="6" a="1"/>
  <c r="A56" i="6" s="1"/>
  <c r="A57" i="6" a="1"/>
  <c r="A57" i="6" s="1"/>
  <c r="A58" i="6" a="1"/>
  <c r="A58" i="6" s="1"/>
  <c r="A59" i="6" a="1"/>
  <c r="A59" i="6" s="1"/>
  <c r="A60" i="6" a="1"/>
  <c r="A60" i="6" s="1"/>
  <c r="A61" i="6" a="1"/>
  <c r="A61" i="6" s="1"/>
  <c r="A62" i="6" a="1"/>
  <c r="A62" i="6" s="1"/>
  <c r="A63" i="6" a="1"/>
  <c r="A63" i="6" s="1"/>
  <c r="A64" i="6" a="1"/>
  <c r="A64" i="6" s="1"/>
  <c r="A65" i="6" a="1"/>
  <c r="A65" i="6" s="1"/>
  <c r="A66" i="6" a="1"/>
  <c r="A66" i="6" s="1"/>
  <c r="A67" i="6" a="1"/>
  <c r="A67" i="6" s="1"/>
  <c r="A68" i="6" a="1"/>
  <c r="A68" i="6" s="1"/>
  <c r="A69" i="6" a="1"/>
  <c r="A69" i="6" s="1"/>
  <c r="A70" i="6" a="1"/>
  <c r="A70" i="6" s="1"/>
  <c r="A71" i="6" a="1"/>
  <c r="A71" i="6" s="1"/>
  <c r="A72" i="6" a="1"/>
  <c r="A72" i="6" s="1"/>
  <c r="A73" i="6" a="1"/>
  <c r="A73" i="6" s="1"/>
  <c r="A74" i="6" a="1"/>
  <c r="A74" i="6" s="1"/>
  <c r="A75" i="6" a="1"/>
  <c r="A75" i="6" s="1"/>
  <c r="A76" i="6" a="1"/>
  <c r="A76" i="6" s="1"/>
  <c r="A77" i="6" a="1"/>
  <c r="A77" i="6" s="1"/>
  <c r="A78" i="6" a="1"/>
  <c r="A78" i="6" s="1"/>
  <c r="A79" i="6" a="1"/>
  <c r="A79" i="6" s="1"/>
  <c r="A80" i="6" a="1"/>
  <c r="A80" i="6" s="1"/>
  <c r="A81" i="6" a="1"/>
  <c r="A81" i="6" s="1"/>
  <c r="A82" i="6" a="1"/>
  <c r="A82" i="6" s="1"/>
  <c r="A83" i="6" a="1"/>
  <c r="A83" i="6" s="1"/>
  <c r="A84" i="6" a="1"/>
  <c r="A84" i="6" s="1"/>
  <c r="A85" i="6" a="1"/>
  <c r="A85" i="6" s="1"/>
  <c r="A86" i="6" a="1"/>
  <c r="A86" i="6" s="1"/>
  <c r="A87" i="6" a="1"/>
  <c r="A87" i="6" s="1"/>
  <c r="A88" i="6" a="1"/>
  <c r="A88" i="6" s="1"/>
  <c r="A89" i="6" a="1"/>
  <c r="A89" i="6" s="1"/>
  <c r="A90" i="6" a="1"/>
  <c r="A90" i="6" s="1"/>
  <c r="A91" i="6" a="1"/>
  <c r="A91" i="6" s="1"/>
  <c r="A92" i="6" a="1"/>
  <c r="A92" i="6" s="1"/>
  <c r="A93" i="6" a="1"/>
  <c r="A93" i="6" s="1"/>
  <c r="A94" i="6" a="1"/>
  <c r="A94" i="6" s="1"/>
  <c r="A95" i="6" a="1"/>
  <c r="A95" i="6" s="1"/>
  <c r="A96" i="6" a="1"/>
  <c r="A96" i="6" s="1"/>
  <c r="A97" i="6" a="1"/>
  <c r="A97" i="6" s="1"/>
  <c r="A98" i="6" a="1"/>
  <c r="A98" i="6" s="1"/>
  <c r="A99" i="6" a="1"/>
  <c r="A99" i="6" s="1"/>
  <c r="A100" i="6" a="1"/>
  <c r="A100" i="6" s="1"/>
  <c r="A101" i="6" a="1"/>
  <c r="A101" i="6" s="1"/>
  <c r="A2" i="6" a="1"/>
  <c r="A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<sst xmlns="http://schemas.openxmlformats.org/spreadsheetml/2006/main" count="2075" uniqueCount="118">
  <si>
    <t>Age</t>
  </si>
  <si>
    <t>Sex</t>
  </si>
  <si>
    <t>Education</t>
  </si>
  <si>
    <t>Occupation</t>
  </si>
  <si>
    <t>Monthly Income</t>
  </si>
  <si>
    <t>Residence</t>
  </si>
  <si>
    <t>Location</t>
  </si>
  <si>
    <t>Systolic BP</t>
  </si>
  <si>
    <t>Diastolic BP</t>
  </si>
  <si>
    <t>Elevated Creatinine</t>
  </si>
  <si>
    <t>Diabetes Mellitus</t>
  </si>
  <si>
    <t>Family History of CVD</t>
  </si>
  <si>
    <t>Elevated Cholesterol</t>
  </si>
  <si>
    <t>Smoking</t>
  </si>
  <si>
    <t>LVH</t>
  </si>
  <si>
    <t>IHD</t>
  </si>
  <si>
    <t>CVD</t>
  </si>
  <si>
    <t>Retinopathy</t>
  </si>
  <si>
    <t>Treatment</t>
  </si>
  <si>
    <t>Control Status</t>
  </si>
  <si>
    <t>Physical Activity</t>
  </si>
  <si>
    <t>Dietary Habits</t>
  </si>
  <si>
    <t>Female</t>
  </si>
  <si>
    <t>Primary school</t>
  </si>
  <si>
    <t>Self-employed</t>
  </si>
  <si>
    <t>£35,001–£50,000</t>
  </si>
  <si>
    <t>Rural</t>
  </si>
  <si>
    <t>Aberaeron</t>
  </si>
  <si>
    <t>No</t>
  </si>
  <si>
    <t>Yes</t>
  </si>
  <si>
    <t>Combination Drugs</t>
  </si>
  <si>
    <t>Uncontrolled</t>
  </si>
  <si>
    <t>Healthy</t>
  </si>
  <si>
    <t>Male</t>
  </si>
  <si>
    <t>Sixth form / A-levels</t>
  </si>
  <si>
    <t>Employed (services)</t>
  </si>
  <si>
    <t>Under £20,000</t>
  </si>
  <si>
    <t>Helmsdale</t>
  </si>
  <si>
    <t>Controlled</t>
  </si>
  <si>
    <t>Unhealthy</t>
  </si>
  <si>
    <t>No formal education</t>
  </si>
  <si>
    <t>£20,001–£35,000</t>
  </si>
  <si>
    <t>Suburban</t>
  </si>
  <si>
    <t>Guildford</t>
  </si>
  <si>
    <t>Homemaker</t>
  </si>
  <si>
    <t>Dolgellau</t>
  </si>
  <si>
    <t>Single Drug</t>
  </si>
  <si>
    <t>Basildon</t>
  </si>
  <si>
    <t>Machynlleth</t>
  </si>
  <si>
    <t>Secondary school (GCSE)</t>
  </si>
  <si>
    <t>Appleby-in-Westmorland</t>
  </si>
  <si>
    <t>Urban</t>
  </si>
  <si>
    <t>Sheffield</t>
  </si>
  <si>
    <t>Over £50,000</t>
  </si>
  <si>
    <t>Derby</t>
  </si>
  <si>
    <t>Retired</t>
  </si>
  <si>
    <t>Dornoch</t>
  </si>
  <si>
    <t>Manchester</t>
  </si>
  <si>
    <t>Bachelor's degree</t>
  </si>
  <si>
    <t>Liverpool</t>
  </si>
  <si>
    <t>Manual / Trade worker</t>
  </si>
  <si>
    <t>Postgraduate degree</t>
  </si>
  <si>
    <t>Harrogate</t>
  </si>
  <si>
    <t>Southampton</t>
  </si>
  <si>
    <t>Bradford</t>
  </si>
  <si>
    <t>Wakefield</t>
  </si>
  <si>
    <t>Wells</t>
  </si>
  <si>
    <t>Hawes</t>
  </si>
  <si>
    <t>Tongue</t>
  </si>
  <si>
    <t>Bristol</t>
  </si>
  <si>
    <t>Portsmouth</t>
  </si>
  <si>
    <t>Builth Wells</t>
  </si>
  <si>
    <t>Wolverhampton</t>
  </si>
  <si>
    <t>Crawley</t>
  </si>
  <si>
    <t>London</t>
  </si>
  <si>
    <t>Alston</t>
  </si>
  <si>
    <t>Nottingham</t>
  </si>
  <si>
    <t>Kirkby Stephen</t>
  </si>
  <si>
    <t>Glasgow</t>
  </si>
  <si>
    <t>Durness</t>
  </si>
  <si>
    <t>Swindon</t>
  </si>
  <si>
    <t>Sutton Coldfield</t>
  </si>
  <si>
    <t>Leeds</t>
  </si>
  <si>
    <t>Inveraray</t>
  </si>
  <si>
    <t>Hay-on-Wye</t>
  </si>
  <si>
    <t>Vocational / NVQ</t>
  </si>
  <si>
    <t>Ipswich</t>
  </si>
  <si>
    <t>Birmingham</t>
  </si>
  <si>
    <t>Chelmsford</t>
  </si>
  <si>
    <t>Northampton</t>
  </si>
  <si>
    <t>Alnwick</t>
  </si>
  <si>
    <t>Settle</t>
  </si>
  <si>
    <t>Coventry</t>
  </si>
  <si>
    <t>Unemployed</t>
  </si>
  <si>
    <t>Solihull</t>
  </si>
  <si>
    <t>Cardiff</t>
  </si>
  <si>
    <t>Ludlow</t>
  </si>
  <si>
    <t>Peterborough</t>
  </si>
  <si>
    <t>Hexham</t>
  </si>
  <si>
    <t>Belfast</t>
  </si>
  <si>
    <t>Llandrindod Wells</t>
  </si>
  <si>
    <t>Woking</t>
  </si>
  <si>
    <t>Stockport</t>
  </si>
  <si>
    <t>Row Labels</t>
  </si>
  <si>
    <t>Grand Total</t>
  </si>
  <si>
    <t>Column Labels</t>
  </si>
  <si>
    <t>(All)</t>
  </si>
  <si>
    <t>Max of Systolic BP</t>
  </si>
  <si>
    <t>Max of Diastolic BP</t>
  </si>
  <si>
    <t>Average of Systolic BP</t>
  </si>
  <si>
    <t>Average of Diastolic BP</t>
  </si>
  <si>
    <t>Age Range</t>
  </si>
  <si>
    <t>18-29</t>
  </si>
  <si>
    <t>30-44</t>
  </si>
  <si>
    <t>45-55+</t>
  </si>
  <si>
    <t>Total Average of Systolic BP</t>
  </si>
  <si>
    <t>Total Average of Diastolic BP</t>
  </si>
  <si>
    <t>UK Hypertension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</si>
</sst>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24"/>
      <color theme="1"/>
      <name val="Arial"/>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Alignment="1">
      <alignment horizontal="left" indent="1"/>
    </xf>
    <xf numFmtId="0" fontId="0" fillId="2" borderId="0" xfId="0" applyFill="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Max Blood Pressure in UK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Max of Systolic BP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Table'!$A$13:$A$15</c:f>
              <c:strCache>
                <c:ptCount val="2"/>
                <c:pt idx="0">
                  <c:v>Female</c:v>
                </c:pt>
                <c:pt idx="1">
                  <c:v>Male</c:v>
                </c:pt>
              </c:strCache>
            </c:strRef>
          </c:cat>
          <c:val>
            <c:numRef>
              <c:f>'Pivot Table'!$B$13:$B$15</c:f>
              <c:numCache>
                <c:formatCode>General</c:formatCode>
                <c:ptCount val="2"/>
                <c:pt idx="0">
                  <c:v>178</c:v>
                </c:pt>
                <c:pt idx="1">
                  <c:v>174</c:v>
                </c:pt>
              </c:numCache>
            </c:numRef>
          </c:val>
          <c:extLst>
            <c:ext xmlns:c16="http://schemas.microsoft.com/office/drawing/2014/chart" uri="{C3380CC4-5D6E-409C-BE32-E72D297353CC}">
              <c16:uniqueId val="{00000000-9D89-4C28-A6BE-509EFA0FD383}"/>
            </c:ext>
          </c:extLst>
        </c:ser>
        <c:ser>
          <c:idx val="1"/>
          <c:order val="1"/>
          <c:tx>
            <c:strRef>
              <c:f>'Pivot Table'!$C$12</c:f>
              <c:strCache>
                <c:ptCount val="1"/>
                <c:pt idx="0">
                  <c:v>Max of Diastolic BP</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Table'!$A$13:$A$15</c:f>
              <c:strCache>
                <c:ptCount val="2"/>
                <c:pt idx="0">
                  <c:v>Female</c:v>
                </c:pt>
                <c:pt idx="1">
                  <c:v>Male</c:v>
                </c:pt>
              </c:strCache>
            </c:strRef>
          </c:cat>
          <c:val>
            <c:numRef>
              <c:f>'Pivot Table'!$C$13:$C$15</c:f>
              <c:numCache>
                <c:formatCode>General</c:formatCode>
                <c:ptCount val="2"/>
                <c:pt idx="0">
                  <c:v>109</c:v>
                </c:pt>
                <c:pt idx="1">
                  <c:v>108</c:v>
                </c:pt>
              </c:numCache>
            </c:numRef>
          </c:val>
          <c:extLst>
            <c:ext xmlns:c16="http://schemas.microsoft.com/office/drawing/2014/chart" uri="{C3380CC4-5D6E-409C-BE32-E72D297353CC}">
              <c16:uniqueId val="{00000001-9D89-4C28-A6BE-509EFA0FD383}"/>
            </c:ext>
          </c:extLst>
        </c:ser>
        <c:dLbls>
          <c:dLblPos val="outEnd"/>
          <c:showLegendKey val="0"/>
          <c:showVal val="1"/>
          <c:showCatName val="0"/>
          <c:showSerName val="0"/>
          <c:showPercent val="0"/>
          <c:showBubbleSize val="0"/>
        </c:dLbls>
        <c:gapWidth val="100"/>
        <c:overlap val="-24"/>
        <c:axId val="159144400"/>
        <c:axId val="159153520"/>
      </c:barChart>
      <c:catAx>
        <c:axId val="159144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153520"/>
        <c:crosses val="autoZero"/>
        <c:auto val="1"/>
        <c:lblAlgn val="ctr"/>
        <c:lblOffset val="100"/>
        <c:noMultiLvlLbl val="0"/>
      </c:catAx>
      <c:valAx>
        <c:axId val="1591535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144400"/>
        <c:crosses val="autoZero"/>
        <c:crossBetween val="between"/>
      </c:valAx>
      <c:spPr>
        <a:noFill/>
        <a:ln>
          <a:noFill/>
        </a:ln>
        <a:effectLst/>
      </c:spPr>
    </c:plotArea>
    <c:legend>
      <c:legendPos val="r"/>
      <c:layout>
        <c:manualLayout>
          <c:xMode val="edge"/>
          <c:yMode val="edge"/>
          <c:x val="0.80163593781916642"/>
          <c:y val="0.47433715649450686"/>
          <c:w val="0.19836418444306139"/>
          <c:h val="0.30275377940435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Systolic BP by Age Groupe and Residence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Rural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Table'!$A$21:$A$24</c:f>
              <c:strCache>
                <c:ptCount val="3"/>
                <c:pt idx="0">
                  <c:v>18-29</c:v>
                </c:pt>
                <c:pt idx="1">
                  <c:v>30-44</c:v>
                </c:pt>
                <c:pt idx="2">
                  <c:v>45-55+</c:v>
                </c:pt>
              </c:strCache>
            </c:strRef>
          </c:cat>
          <c:val>
            <c:numRef>
              <c:f>'Pivot Table'!$B$21:$B$24</c:f>
              <c:numCache>
                <c:formatCode>General</c:formatCode>
                <c:ptCount val="3"/>
                <c:pt idx="0">
                  <c:v>145</c:v>
                </c:pt>
                <c:pt idx="1">
                  <c:v>142.84615384615384</c:v>
                </c:pt>
                <c:pt idx="2">
                  <c:v>145.36000000000001</c:v>
                </c:pt>
              </c:numCache>
            </c:numRef>
          </c:val>
          <c:extLst>
            <c:ext xmlns:c16="http://schemas.microsoft.com/office/drawing/2014/chart" uri="{C3380CC4-5D6E-409C-BE32-E72D297353CC}">
              <c16:uniqueId val="{00000000-7EB0-4005-B4A0-9C1538680DF8}"/>
            </c:ext>
          </c:extLst>
        </c:ser>
        <c:ser>
          <c:idx val="1"/>
          <c:order val="1"/>
          <c:tx>
            <c:strRef>
              <c:f>'Pivot Table'!$C$19:$C$20</c:f>
              <c:strCache>
                <c:ptCount val="1"/>
                <c:pt idx="0">
                  <c:v>Suburban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Table'!$A$21:$A$24</c:f>
              <c:strCache>
                <c:ptCount val="3"/>
                <c:pt idx="0">
                  <c:v>18-29</c:v>
                </c:pt>
                <c:pt idx="1">
                  <c:v>30-44</c:v>
                </c:pt>
                <c:pt idx="2">
                  <c:v>45-55+</c:v>
                </c:pt>
              </c:strCache>
            </c:strRef>
          </c:cat>
          <c:val>
            <c:numRef>
              <c:f>'Pivot Table'!$C$21:$C$24</c:f>
              <c:numCache>
                <c:formatCode>General</c:formatCode>
                <c:ptCount val="3"/>
                <c:pt idx="1">
                  <c:v>149</c:v>
                </c:pt>
                <c:pt idx="2">
                  <c:v>139.80000000000001</c:v>
                </c:pt>
              </c:numCache>
            </c:numRef>
          </c:val>
          <c:extLst>
            <c:ext xmlns:c16="http://schemas.microsoft.com/office/drawing/2014/chart" uri="{C3380CC4-5D6E-409C-BE32-E72D297353CC}">
              <c16:uniqueId val="{00000005-7EB0-4005-B4A0-9C1538680DF8}"/>
            </c:ext>
          </c:extLst>
        </c:ser>
        <c:ser>
          <c:idx val="2"/>
          <c:order val="2"/>
          <c:tx>
            <c:strRef>
              <c:f>'Pivot Table'!$D$19:$D$20</c:f>
              <c:strCache>
                <c:ptCount val="1"/>
                <c:pt idx="0">
                  <c:v>Urban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Table'!$A$21:$A$24</c:f>
              <c:strCache>
                <c:ptCount val="3"/>
                <c:pt idx="0">
                  <c:v>18-29</c:v>
                </c:pt>
                <c:pt idx="1">
                  <c:v>30-44</c:v>
                </c:pt>
                <c:pt idx="2">
                  <c:v>45-55+</c:v>
                </c:pt>
              </c:strCache>
            </c:strRef>
          </c:cat>
          <c:val>
            <c:numRef>
              <c:f>'Pivot Table'!$D$21:$D$24</c:f>
              <c:numCache>
                <c:formatCode>General</c:formatCode>
                <c:ptCount val="3"/>
                <c:pt idx="0">
                  <c:v>144.5</c:v>
                </c:pt>
                <c:pt idx="1">
                  <c:v>139.46666666666667</c:v>
                </c:pt>
                <c:pt idx="2">
                  <c:v>143.13636363636363</c:v>
                </c:pt>
              </c:numCache>
            </c:numRef>
          </c:val>
          <c:extLst>
            <c:ext xmlns:c16="http://schemas.microsoft.com/office/drawing/2014/chart" uri="{C3380CC4-5D6E-409C-BE32-E72D297353CC}">
              <c16:uniqueId val="{00000006-7EB0-4005-B4A0-9C1538680DF8}"/>
            </c:ext>
          </c:extLst>
        </c:ser>
        <c:dLbls>
          <c:showLegendKey val="0"/>
          <c:showVal val="0"/>
          <c:showCatName val="0"/>
          <c:showSerName val="0"/>
          <c:showPercent val="0"/>
          <c:showBubbleSize val="0"/>
        </c:dLbls>
        <c:gapWidth val="100"/>
        <c:overlap val="-24"/>
        <c:axId val="372734736"/>
        <c:axId val="372736176"/>
      </c:barChart>
      <c:catAx>
        <c:axId val="3727347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736176"/>
        <c:crosses val="autoZero"/>
        <c:auto val="1"/>
        <c:lblAlgn val="ctr"/>
        <c:lblOffset val="100"/>
        <c:noMultiLvlLbl val="0"/>
      </c:catAx>
      <c:valAx>
        <c:axId val="3727361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73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BP by Exercise Level</a:t>
            </a:r>
          </a:p>
        </c:rich>
      </c:tx>
      <c:layout>
        <c:manualLayout>
          <c:xMode val="edge"/>
          <c:yMode val="edge"/>
          <c:x val="0.56041666666666667"/>
          <c:y val="0.1229585885097696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Average of Systolic BP</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Table'!$A$35:$A$37</c:f>
              <c:strCache>
                <c:ptCount val="2"/>
                <c:pt idx="0">
                  <c:v>No</c:v>
                </c:pt>
                <c:pt idx="1">
                  <c:v>Yes</c:v>
                </c:pt>
              </c:strCache>
            </c:strRef>
          </c:cat>
          <c:val>
            <c:numRef>
              <c:f>'Pivot Table'!$B$35:$B$37</c:f>
              <c:numCache>
                <c:formatCode>General</c:formatCode>
                <c:ptCount val="2"/>
                <c:pt idx="0">
                  <c:v>143.75</c:v>
                </c:pt>
                <c:pt idx="1">
                  <c:v>143.34210526315789</c:v>
                </c:pt>
              </c:numCache>
            </c:numRef>
          </c:val>
          <c:extLst>
            <c:ext xmlns:c16="http://schemas.microsoft.com/office/drawing/2014/chart" uri="{C3380CC4-5D6E-409C-BE32-E72D297353CC}">
              <c16:uniqueId val="{00000000-ED91-4248-813D-DEB66B2E9BAB}"/>
            </c:ext>
          </c:extLst>
        </c:ser>
        <c:ser>
          <c:idx val="1"/>
          <c:order val="1"/>
          <c:tx>
            <c:strRef>
              <c:f>'Pivot Table'!$C$34</c:f>
              <c:strCache>
                <c:ptCount val="1"/>
                <c:pt idx="0">
                  <c:v>Average of Diastolic BP</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Table'!$A$35:$A$37</c:f>
              <c:strCache>
                <c:ptCount val="2"/>
                <c:pt idx="0">
                  <c:v>No</c:v>
                </c:pt>
                <c:pt idx="1">
                  <c:v>Yes</c:v>
                </c:pt>
              </c:strCache>
            </c:strRef>
          </c:cat>
          <c:val>
            <c:numRef>
              <c:f>'Pivot Table'!$C$35:$C$37</c:f>
              <c:numCache>
                <c:formatCode>General</c:formatCode>
                <c:ptCount val="2"/>
                <c:pt idx="0">
                  <c:v>88</c:v>
                </c:pt>
                <c:pt idx="1">
                  <c:v>88.94736842105263</c:v>
                </c:pt>
              </c:numCache>
            </c:numRef>
          </c:val>
          <c:extLst>
            <c:ext xmlns:c16="http://schemas.microsoft.com/office/drawing/2014/chart" uri="{C3380CC4-5D6E-409C-BE32-E72D297353CC}">
              <c16:uniqueId val="{00000001-ED91-4248-813D-DEB66B2E9BAB}"/>
            </c:ext>
          </c:extLst>
        </c:ser>
        <c:dLbls>
          <c:showLegendKey val="0"/>
          <c:showVal val="0"/>
          <c:showCatName val="0"/>
          <c:showSerName val="0"/>
          <c:showPercent val="0"/>
          <c:showBubbleSize val="0"/>
        </c:dLbls>
        <c:gapWidth val="100"/>
        <c:overlap val="-24"/>
        <c:axId val="372816336"/>
        <c:axId val="372838416"/>
      </c:barChart>
      <c:catAx>
        <c:axId val="3728163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838416"/>
        <c:crosses val="autoZero"/>
        <c:auto val="1"/>
        <c:lblAlgn val="ctr"/>
        <c:lblOffset val="100"/>
        <c:noMultiLvlLbl val="0"/>
      </c:catAx>
      <c:valAx>
        <c:axId val="372838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81633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Table!PivotTable7</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Medication Count vs BP Control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Table'!$B$52:$B$54</c:f>
              <c:strCache>
                <c:ptCount val="1"/>
                <c:pt idx="0">
                  <c:v>Average of Systolic BP - Controlled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Table'!$B$55:$B$57</c:f>
              <c:numCache>
                <c:formatCode>General</c:formatCode>
                <c:ptCount val="2"/>
                <c:pt idx="0">
                  <c:v>144.05555555555554</c:v>
                </c:pt>
                <c:pt idx="1">
                  <c:v>136.57142857142858</c:v>
                </c:pt>
              </c:numCache>
            </c:numRef>
          </c:val>
          <c:extLst>
            <c:ext xmlns:c16="http://schemas.microsoft.com/office/drawing/2014/chart" uri="{C3380CC4-5D6E-409C-BE32-E72D297353CC}">
              <c16:uniqueId val="{00000000-580F-41FC-B4F6-1D0C768D76C9}"/>
            </c:ext>
          </c:extLst>
        </c:ser>
        <c:ser>
          <c:idx val="1"/>
          <c:order val="1"/>
          <c:tx>
            <c:strRef>
              <c:f>'Pivot Table'!$C$52:$C$54</c:f>
              <c:strCache>
                <c:ptCount val="1"/>
                <c:pt idx="0">
                  <c:v>Average of Systolic BP - Uncontrolled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Table'!$C$55:$C$57</c:f>
              <c:numCache>
                <c:formatCode>General</c:formatCode>
                <c:ptCount val="2"/>
                <c:pt idx="0">
                  <c:v>142.59322033898306</c:v>
                </c:pt>
                <c:pt idx="1">
                  <c:v>148.875</c:v>
                </c:pt>
              </c:numCache>
            </c:numRef>
          </c:val>
          <c:extLst>
            <c:ext xmlns:c16="http://schemas.microsoft.com/office/drawing/2014/chart" uri="{C3380CC4-5D6E-409C-BE32-E72D297353CC}">
              <c16:uniqueId val="{00000001-580F-41FC-B4F6-1D0C768D76C9}"/>
            </c:ext>
          </c:extLst>
        </c:ser>
        <c:ser>
          <c:idx val="2"/>
          <c:order val="2"/>
          <c:tx>
            <c:strRef>
              <c:f>'Pivot Table'!$D$52:$D$54</c:f>
              <c:strCache>
                <c:ptCount val="1"/>
                <c:pt idx="0">
                  <c:v>Average of Diastolic BP - Controlled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Table'!$D$55:$D$57</c:f>
              <c:numCache>
                <c:formatCode>General</c:formatCode>
                <c:ptCount val="2"/>
                <c:pt idx="0">
                  <c:v>88.277777777777771</c:v>
                </c:pt>
                <c:pt idx="1">
                  <c:v>93.857142857142861</c:v>
                </c:pt>
              </c:numCache>
            </c:numRef>
          </c:val>
          <c:extLst>
            <c:ext xmlns:c16="http://schemas.microsoft.com/office/drawing/2014/chart" uri="{C3380CC4-5D6E-409C-BE32-E72D297353CC}">
              <c16:uniqueId val="{00000005-580F-41FC-B4F6-1D0C768D76C9}"/>
            </c:ext>
          </c:extLst>
        </c:ser>
        <c:ser>
          <c:idx val="3"/>
          <c:order val="3"/>
          <c:tx>
            <c:strRef>
              <c:f>'Pivot Table'!$E$52:$E$54</c:f>
              <c:strCache>
                <c:ptCount val="1"/>
                <c:pt idx="0">
                  <c:v>Average of Diastolic BP - Uncontrolled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Table'!$E$55:$E$57</c:f>
              <c:numCache>
                <c:formatCode>General</c:formatCode>
                <c:ptCount val="2"/>
                <c:pt idx="0">
                  <c:v>88.711864406779668</c:v>
                </c:pt>
                <c:pt idx="1">
                  <c:v>87</c:v>
                </c:pt>
              </c:numCache>
            </c:numRef>
          </c:val>
          <c:extLst>
            <c:ext xmlns:c16="http://schemas.microsoft.com/office/drawing/2014/chart" uri="{C3380CC4-5D6E-409C-BE32-E72D297353CC}">
              <c16:uniqueId val="{00000006-580F-41FC-B4F6-1D0C768D76C9}"/>
            </c:ext>
          </c:extLst>
        </c:ser>
        <c:dLbls>
          <c:showLegendKey val="0"/>
          <c:showVal val="0"/>
          <c:showCatName val="0"/>
          <c:showSerName val="0"/>
          <c:showPercent val="0"/>
          <c:showBubbleSize val="0"/>
        </c:dLbls>
        <c:gapWidth val="150"/>
        <c:shape val="box"/>
        <c:axId val="372463264"/>
        <c:axId val="372464224"/>
        <c:axId val="0"/>
      </c:bar3DChart>
      <c:catAx>
        <c:axId val="372463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464224"/>
        <c:crosses val="autoZero"/>
        <c:auto val="1"/>
        <c:lblAlgn val="ctr"/>
        <c:lblOffset val="100"/>
        <c:noMultiLvlLbl val="0"/>
      </c:catAx>
      <c:valAx>
        <c:axId val="372464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46326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Table!PivotTable8</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BP by Smoking Status and Dietary Habits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Table'!$B$83</c:f>
              <c:strCache>
                <c:ptCount val="1"/>
                <c:pt idx="0">
                  <c:v>Average of Systolic BP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Table'!$A$84:$A$90</c:f>
              <c:multiLvlStrCache>
                <c:ptCount val="4"/>
                <c:lvl>
                  <c:pt idx="0">
                    <c:v>Healthy</c:v>
                  </c:pt>
                  <c:pt idx="1">
                    <c:v>Unhealthy</c:v>
                  </c:pt>
                  <c:pt idx="2">
                    <c:v>Healthy</c:v>
                  </c:pt>
                  <c:pt idx="3">
                    <c:v>Unhealthy</c:v>
                  </c:pt>
                </c:lvl>
                <c:lvl>
                  <c:pt idx="0">
                    <c:v>No</c:v>
                  </c:pt>
                  <c:pt idx="2">
                    <c:v>Yes</c:v>
                  </c:pt>
                </c:lvl>
              </c:multiLvlStrCache>
            </c:multiLvlStrRef>
          </c:cat>
          <c:val>
            <c:numRef>
              <c:f>'Pivot Table'!$B$84:$B$90</c:f>
              <c:numCache>
                <c:formatCode>General</c:formatCode>
                <c:ptCount val="4"/>
                <c:pt idx="0">
                  <c:v>142.08333333333334</c:v>
                </c:pt>
                <c:pt idx="1">
                  <c:v>142.2439024390244</c:v>
                </c:pt>
                <c:pt idx="2">
                  <c:v>150.75</c:v>
                </c:pt>
                <c:pt idx="3">
                  <c:v>162</c:v>
                </c:pt>
              </c:numCache>
            </c:numRef>
          </c:val>
          <c:extLst>
            <c:ext xmlns:c16="http://schemas.microsoft.com/office/drawing/2014/chart" uri="{C3380CC4-5D6E-409C-BE32-E72D297353CC}">
              <c16:uniqueId val="{00000000-49B7-4C6C-9AB3-5EC6E69E6EAA}"/>
            </c:ext>
          </c:extLst>
        </c:ser>
        <c:dLbls>
          <c:showLegendKey val="0"/>
          <c:showVal val="0"/>
          <c:showCatName val="0"/>
          <c:showSerName val="0"/>
          <c:showPercent val="0"/>
          <c:showBubbleSize val="0"/>
        </c:dLbls>
        <c:gapWidth val="269"/>
        <c:axId val="759099856"/>
        <c:axId val="759084016"/>
      </c:barChart>
      <c:lineChart>
        <c:grouping val="standard"/>
        <c:varyColors val="0"/>
        <c:ser>
          <c:idx val="1"/>
          <c:order val="1"/>
          <c:tx>
            <c:strRef>
              <c:f>'Pivot Table'!$C$83</c:f>
              <c:strCache>
                <c:ptCount val="1"/>
                <c:pt idx="0">
                  <c:v>Average of Diastolic BP</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'Pivot Table'!$A$84:$A$90</c:f>
              <c:multiLvlStrCache>
                <c:ptCount val="4"/>
                <c:lvl>
                  <c:pt idx="0">
                    <c:v>Healthy</c:v>
                  </c:pt>
                  <c:pt idx="1">
                    <c:v>Unhealthy</c:v>
                  </c:pt>
                  <c:pt idx="2">
                    <c:v>Healthy</c:v>
                  </c:pt>
                  <c:pt idx="3">
                    <c:v>Unhealthy</c:v>
                  </c:pt>
                </c:lvl>
                <c:lvl>
                  <c:pt idx="0">
                    <c:v>No</c:v>
                  </c:pt>
                  <c:pt idx="2">
                    <c:v>Yes</c:v>
                  </c:pt>
                </c:lvl>
              </c:multiLvlStrCache>
            </c:multiLvlStrRef>
          </c:cat>
          <c:val>
            <c:numRef>
              <c:f>'Pivot Table'!$C$84:$C$90</c:f>
              <c:numCache>
                <c:formatCode>General</c:formatCode>
                <c:ptCount val="4"/>
                <c:pt idx="0">
                  <c:v>88.604166666666671</c:v>
                </c:pt>
                <c:pt idx="1">
                  <c:v>88.878048780487802</c:v>
                </c:pt>
                <c:pt idx="2">
                  <c:v>88.25</c:v>
                </c:pt>
                <c:pt idx="3">
                  <c:v>89.666666666666671</c:v>
                </c:pt>
              </c:numCache>
            </c:numRef>
          </c:val>
          <c:smooth val="0"/>
          <c:extLst>
            <c:ext xmlns:c16="http://schemas.microsoft.com/office/drawing/2014/chart" uri="{C3380CC4-5D6E-409C-BE32-E72D297353CC}">
              <c16:uniqueId val="{00000001-49B7-4C6C-9AB3-5EC6E69E6EAA}"/>
            </c:ext>
          </c:extLst>
        </c:ser>
        <c:dLbls>
          <c:showLegendKey val="0"/>
          <c:showVal val="0"/>
          <c:showCatName val="0"/>
          <c:showSerName val="0"/>
          <c:showPercent val="0"/>
          <c:showBubbleSize val="0"/>
        </c:dLbls>
        <c:marker val="1"/>
        <c:smooth val="0"/>
        <c:axId val="759085456"/>
        <c:axId val="759084976"/>
      </c:lineChart>
      <c:catAx>
        <c:axId val="7590998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084016"/>
        <c:auto val="1"/>
        <c:lblAlgn val="ctr"/>
        <c:lblOffset val="100"/>
        <c:noMultiLvlLbl val="0"/>
      </c:catAx>
      <c:valAx>
        <c:axId val="759084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099856"/>
        <c:crossBetween val="between"/>
      </c:valAx>
      <c:valAx>
        <c:axId val="7590849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085456"/>
        <c:crosses val="max"/>
        <c:crossBetween val="between"/>
      </c:valAx>
      <c:catAx>
        <c:axId val="759085456"/>
        <c:scaling>
          <c:orientation val="minMax"/>
        </c:scaling>
        <c:delete val="1"/>
        <c:axPos val="b"/>
        <c:numFmt formatCode="General" sourceLinked="1"/>
        <c:majorTickMark val="none"/>
        <c:minorTickMark val="none"/>
        <c:tickLblPos val="nextTo"/>
        <c:crossAx val="759084976"/>
        <c:auto val="1"/>
        <c:lblAlgn val="ctr"/>
        <c:lblOffset val="100"/>
        <c:noMultiLvlLbl val="0"/>
      </c:cat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000">
                <a:latin typeface="Arial" panose="020B0604020202020204" pitchFamily="34" charset="0"/>
                <a:cs typeface="Arial" panose="020B0604020202020204" pitchFamily="34" charset="0"/>
              </a:rPr>
              <a:t>Average</a:t>
            </a:r>
            <a:r>
              <a:rPr lang="en-GB" sz="1000" baseline="0">
                <a:latin typeface="Arial" panose="020B0604020202020204" pitchFamily="34" charset="0"/>
                <a:cs typeface="Arial" panose="020B0604020202020204" pitchFamily="34" charset="0"/>
              </a:rPr>
              <a:t> BP by City(UK)</a:t>
            </a:r>
            <a:endParaRPr lang="en-GB" sz="10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Table'!$B$112</c:f>
              <c:strCache>
                <c:ptCount val="1"/>
                <c:pt idx="0">
                  <c:v>Average of Systolic BP</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Table'!$A$113:$A$164</c:f>
              <c:strCache>
                <c:ptCount val="51"/>
                <c:pt idx="0">
                  <c:v>Aberaeron</c:v>
                </c:pt>
                <c:pt idx="1">
                  <c:v>Alnwick</c:v>
                </c:pt>
                <c:pt idx="2">
                  <c:v>Alston</c:v>
                </c:pt>
                <c:pt idx="3">
                  <c:v>Appleby-in-Westmorland</c:v>
                </c:pt>
                <c:pt idx="4">
                  <c:v>Basildon</c:v>
                </c:pt>
                <c:pt idx="5">
                  <c:v>Belfast</c:v>
                </c:pt>
                <c:pt idx="6">
                  <c:v>Birmingham</c:v>
                </c:pt>
                <c:pt idx="7">
                  <c:v>Bradford</c:v>
                </c:pt>
                <c:pt idx="8">
                  <c:v>Bristol</c:v>
                </c:pt>
                <c:pt idx="9">
                  <c:v>Builth Wells</c:v>
                </c:pt>
                <c:pt idx="10">
                  <c:v>Cardiff</c:v>
                </c:pt>
                <c:pt idx="11">
                  <c:v>Chelmsford</c:v>
                </c:pt>
                <c:pt idx="12">
                  <c:v>Coventry</c:v>
                </c:pt>
                <c:pt idx="13">
                  <c:v>Crawley</c:v>
                </c:pt>
                <c:pt idx="14">
                  <c:v>Derby</c:v>
                </c:pt>
                <c:pt idx="15">
                  <c:v>Dolgellau</c:v>
                </c:pt>
                <c:pt idx="16">
                  <c:v>Dornoch</c:v>
                </c:pt>
                <c:pt idx="17">
                  <c:v>Durness</c:v>
                </c:pt>
                <c:pt idx="18">
                  <c:v>Glasgow</c:v>
                </c:pt>
                <c:pt idx="19">
                  <c:v>Guildford</c:v>
                </c:pt>
                <c:pt idx="20">
                  <c:v>Harrogate</c:v>
                </c:pt>
                <c:pt idx="21">
                  <c:v>Hawes</c:v>
                </c:pt>
                <c:pt idx="22">
                  <c:v>Hay-on-Wye</c:v>
                </c:pt>
                <c:pt idx="23">
                  <c:v>Helmsdale</c:v>
                </c:pt>
                <c:pt idx="24">
                  <c:v>Hexham</c:v>
                </c:pt>
                <c:pt idx="25">
                  <c:v>Inveraray</c:v>
                </c:pt>
                <c:pt idx="26">
                  <c:v>Ipswich</c:v>
                </c:pt>
                <c:pt idx="27">
                  <c:v>Kirkby Stephen</c:v>
                </c:pt>
                <c:pt idx="28">
                  <c:v>Leeds</c:v>
                </c:pt>
                <c:pt idx="29">
                  <c:v>Liverpool</c:v>
                </c:pt>
                <c:pt idx="30">
                  <c:v>Llandrindod Wells</c:v>
                </c:pt>
                <c:pt idx="31">
                  <c:v>London</c:v>
                </c:pt>
                <c:pt idx="32">
                  <c:v>Ludlow</c:v>
                </c:pt>
                <c:pt idx="33">
                  <c:v>Machynlleth</c:v>
                </c:pt>
                <c:pt idx="34">
                  <c:v>Manchester</c:v>
                </c:pt>
                <c:pt idx="35">
                  <c:v>Northampton</c:v>
                </c:pt>
                <c:pt idx="36">
                  <c:v>Nottingham</c:v>
                </c:pt>
                <c:pt idx="37">
                  <c:v>Peterborough</c:v>
                </c:pt>
                <c:pt idx="38">
                  <c:v>Portsmouth</c:v>
                </c:pt>
                <c:pt idx="39">
                  <c:v>Settle</c:v>
                </c:pt>
                <c:pt idx="40">
                  <c:v>Sheffield</c:v>
                </c:pt>
                <c:pt idx="41">
                  <c:v>Solihull</c:v>
                </c:pt>
                <c:pt idx="42">
                  <c:v>Southampton</c:v>
                </c:pt>
                <c:pt idx="43">
                  <c:v>Stockport</c:v>
                </c:pt>
                <c:pt idx="44">
                  <c:v>Sutton Coldfield</c:v>
                </c:pt>
                <c:pt idx="45">
                  <c:v>Swindon</c:v>
                </c:pt>
                <c:pt idx="46">
                  <c:v>Tongue</c:v>
                </c:pt>
                <c:pt idx="47">
                  <c:v>Wakefield</c:v>
                </c:pt>
                <c:pt idx="48">
                  <c:v>Wells</c:v>
                </c:pt>
                <c:pt idx="49">
                  <c:v>Woking</c:v>
                </c:pt>
                <c:pt idx="50">
                  <c:v>Wolverhampton</c:v>
                </c:pt>
              </c:strCache>
            </c:strRef>
          </c:cat>
          <c:val>
            <c:numRef>
              <c:f>'Pivot Table'!$B$113:$B$164</c:f>
              <c:numCache>
                <c:formatCode>General</c:formatCode>
                <c:ptCount val="51"/>
                <c:pt idx="0">
                  <c:v>135</c:v>
                </c:pt>
                <c:pt idx="1">
                  <c:v>145</c:v>
                </c:pt>
                <c:pt idx="2">
                  <c:v>140</c:v>
                </c:pt>
                <c:pt idx="3">
                  <c:v>147.33333333333334</c:v>
                </c:pt>
                <c:pt idx="4">
                  <c:v>146</c:v>
                </c:pt>
                <c:pt idx="5">
                  <c:v>150</c:v>
                </c:pt>
                <c:pt idx="6">
                  <c:v>145</c:v>
                </c:pt>
                <c:pt idx="7">
                  <c:v>144</c:v>
                </c:pt>
                <c:pt idx="8">
                  <c:v>130</c:v>
                </c:pt>
                <c:pt idx="9">
                  <c:v>138.33333333333334</c:v>
                </c:pt>
                <c:pt idx="10">
                  <c:v>120</c:v>
                </c:pt>
                <c:pt idx="11">
                  <c:v>147.5</c:v>
                </c:pt>
                <c:pt idx="12">
                  <c:v>153</c:v>
                </c:pt>
                <c:pt idx="13">
                  <c:v>134.66666666666666</c:v>
                </c:pt>
                <c:pt idx="14">
                  <c:v>151</c:v>
                </c:pt>
                <c:pt idx="15">
                  <c:v>151</c:v>
                </c:pt>
                <c:pt idx="16">
                  <c:v>149</c:v>
                </c:pt>
                <c:pt idx="17">
                  <c:v>147.5</c:v>
                </c:pt>
                <c:pt idx="18">
                  <c:v>134.5</c:v>
                </c:pt>
                <c:pt idx="19">
                  <c:v>133</c:v>
                </c:pt>
                <c:pt idx="20">
                  <c:v>147.5</c:v>
                </c:pt>
                <c:pt idx="21">
                  <c:v>149.5</c:v>
                </c:pt>
                <c:pt idx="22">
                  <c:v>138</c:v>
                </c:pt>
                <c:pt idx="23">
                  <c:v>147.25</c:v>
                </c:pt>
                <c:pt idx="24">
                  <c:v>170</c:v>
                </c:pt>
                <c:pt idx="25">
                  <c:v>142.33333333333334</c:v>
                </c:pt>
                <c:pt idx="26">
                  <c:v>164</c:v>
                </c:pt>
                <c:pt idx="27">
                  <c:v>142.5</c:v>
                </c:pt>
                <c:pt idx="28">
                  <c:v>135</c:v>
                </c:pt>
                <c:pt idx="29">
                  <c:v>136.75</c:v>
                </c:pt>
                <c:pt idx="30">
                  <c:v>137.5</c:v>
                </c:pt>
                <c:pt idx="31">
                  <c:v>142.66666666666666</c:v>
                </c:pt>
                <c:pt idx="32">
                  <c:v>138</c:v>
                </c:pt>
                <c:pt idx="33">
                  <c:v>146</c:v>
                </c:pt>
                <c:pt idx="34">
                  <c:v>145</c:v>
                </c:pt>
                <c:pt idx="35">
                  <c:v>145</c:v>
                </c:pt>
                <c:pt idx="36">
                  <c:v>138</c:v>
                </c:pt>
                <c:pt idx="37">
                  <c:v>130</c:v>
                </c:pt>
                <c:pt idx="38">
                  <c:v>138.25</c:v>
                </c:pt>
                <c:pt idx="39">
                  <c:v>119</c:v>
                </c:pt>
                <c:pt idx="40">
                  <c:v>139.5</c:v>
                </c:pt>
                <c:pt idx="41">
                  <c:v>162</c:v>
                </c:pt>
                <c:pt idx="42">
                  <c:v>143.5</c:v>
                </c:pt>
                <c:pt idx="43">
                  <c:v>155</c:v>
                </c:pt>
                <c:pt idx="44">
                  <c:v>148.5</c:v>
                </c:pt>
                <c:pt idx="45">
                  <c:v>148</c:v>
                </c:pt>
                <c:pt idx="46">
                  <c:v>146.5</c:v>
                </c:pt>
                <c:pt idx="47">
                  <c:v>129</c:v>
                </c:pt>
                <c:pt idx="48">
                  <c:v>155</c:v>
                </c:pt>
                <c:pt idx="49">
                  <c:v>156</c:v>
                </c:pt>
                <c:pt idx="50">
                  <c:v>155</c:v>
                </c:pt>
              </c:numCache>
            </c:numRef>
          </c:val>
          <c:smooth val="0"/>
          <c:extLst>
            <c:ext xmlns:c16="http://schemas.microsoft.com/office/drawing/2014/chart" uri="{C3380CC4-5D6E-409C-BE32-E72D297353CC}">
              <c16:uniqueId val="{00000000-BF17-4DB3-BED8-DA17A47F8A9B}"/>
            </c:ext>
          </c:extLst>
        </c:ser>
        <c:ser>
          <c:idx val="1"/>
          <c:order val="1"/>
          <c:tx>
            <c:strRef>
              <c:f>'Pivot Table'!$C$112</c:f>
              <c:strCache>
                <c:ptCount val="1"/>
                <c:pt idx="0">
                  <c:v>Average of Diastolic BP</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Table'!$A$113:$A$164</c:f>
              <c:strCache>
                <c:ptCount val="51"/>
                <c:pt idx="0">
                  <c:v>Aberaeron</c:v>
                </c:pt>
                <c:pt idx="1">
                  <c:v>Alnwick</c:v>
                </c:pt>
                <c:pt idx="2">
                  <c:v>Alston</c:v>
                </c:pt>
                <c:pt idx="3">
                  <c:v>Appleby-in-Westmorland</c:v>
                </c:pt>
                <c:pt idx="4">
                  <c:v>Basildon</c:v>
                </c:pt>
                <c:pt idx="5">
                  <c:v>Belfast</c:v>
                </c:pt>
                <c:pt idx="6">
                  <c:v>Birmingham</c:v>
                </c:pt>
                <c:pt idx="7">
                  <c:v>Bradford</c:v>
                </c:pt>
                <c:pt idx="8">
                  <c:v>Bristol</c:v>
                </c:pt>
                <c:pt idx="9">
                  <c:v>Builth Wells</c:v>
                </c:pt>
                <c:pt idx="10">
                  <c:v>Cardiff</c:v>
                </c:pt>
                <c:pt idx="11">
                  <c:v>Chelmsford</c:v>
                </c:pt>
                <c:pt idx="12">
                  <c:v>Coventry</c:v>
                </c:pt>
                <c:pt idx="13">
                  <c:v>Crawley</c:v>
                </c:pt>
                <c:pt idx="14">
                  <c:v>Derby</c:v>
                </c:pt>
                <c:pt idx="15">
                  <c:v>Dolgellau</c:v>
                </c:pt>
                <c:pt idx="16">
                  <c:v>Dornoch</c:v>
                </c:pt>
                <c:pt idx="17">
                  <c:v>Durness</c:v>
                </c:pt>
                <c:pt idx="18">
                  <c:v>Glasgow</c:v>
                </c:pt>
                <c:pt idx="19">
                  <c:v>Guildford</c:v>
                </c:pt>
                <c:pt idx="20">
                  <c:v>Harrogate</c:v>
                </c:pt>
                <c:pt idx="21">
                  <c:v>Hawes</c:v>
                </c:pt>
                <c:pt idx="22">
                  <c:v>Hay-on-Wye</c:v>
                </c:pt>
                <c:pt idx="23">
                  <c:v>Helmsdale</c:v>
                </c:pt>
                <c:pt idx="24">
                  <c:v>Hexham</c:v>
                </c:pt>
                <c:pt idx="25">
                  <c:v>Inveraray</c:v>
                </c:pt>
                <c:pt idx="26">
                  <c:v>Ipswich</c:v>
                </c:pt>
                <c:pt idx="27">
                  <c:v>Kirkby Stephen</c:v>
                </c:pt>
                <c:pt idx="28">
                  <c:v>Leeds</c:v>
                </c:pt>
                <c:pt idx="29">
                  <c:v>Liverpool</c:v>
                </c:pt>
                <c:pt idx="30">
                  <c:v>Llandrindod Wells</c:v>
                </c:pt>
                <c:pt idx="31">
                  <c:v>London</c:v>
                </c:pt>
                <c:pt idx="32">
                  <c:v>Ludlow</c:v>
                </c:pt>
                <c:pt idx="33">
                  <c:v>Machynlleth</c:v>
                </c:pt>
                <c:pt idx="34">
                  <c:v>Manchester</c:v>
                </c:pt>
                <c:pt idx="35">
                  <c:v>Northampton</c:v>
                </c:pt>
                <c:pt idx="36">
                  <c:v>Nottingham</c:v>
                </c:pt>
                <c:pt idx="37">
                  <c:v>Peterborough</c:v>
                </c:pt>
                <c:pt idx="38">
                  <c:v>Portsmouth</c:v>
                </c:pt>
                <c:pt idx="39">
                  <c:v>Settle</c:v>
                </c:pt>
                <c:pt idx="40">
                  <c:v>Sheffield</c:v>
                </c:pt>
                <c:pt idx="41">
                  <c:v>Solihull</c:v>
                </c:pt>
                <c:pt idx="42">
                  <c:v>Southampton</c:v>
                </c:pt>
                <c:pt idx="43">
                  <c:v>Stockport</c:v>
                </c:pt>
                <c:pt idx="44">
                  <c:v>Sutton Coldfield</c:v>
                </c:pt>
                <c:pt idx="45">
                  <c:v>Swindon</c:v>
                </c:pt>
                <c:pt idx="46">
                  <c:v>Tongue</c:v>
                </c:pt>
                <c:pt idx="47">
                  <c:v>Wakefield</c:v>
                </c:pt>
                <c:pt idx="48">
                  <c:v>Wells</c:v>
                </c:pt>
                <c:pt idx="49">
                  <c:v>Woking</c:v>
                </c:pt>
                <c:pt idx="50">
                  <c:v>Wolverhampton</c:v>
                </c:pt>
              </c:strCache>
            </c:strRef>
          </c:cat>
          <c:val>
            <c:numRef>
              <c:f>'Pivot Table'!$C$113:$C$164</c:f>
              <c:numCache>
                <c:formatCode>General</c:formatCode>
                <c:ptCount val="51"/>
                <c:pt idx="0">
                  <c:v>100.5</c:v>
                </c:pt>
                <c:pt idx="1">
                  <c:v>81</c:v>
                </c:pt>
                <c:pt idx="2">
                  <c:v>89</c:v>
                </c:pt>
                <c:pt idx="3">
                  <c:v>77</c:v>
                </c:pt>
                <c:pt idx="4">
                  <c:v>93</c:v>
                </c:pt>
                <c:pt idx="5">
                  <c:v>80</c:v>
                </c:pt>
                <c:pt idx="6">
                  <c:v>82.666666666666671</c:v>
                </c:pt>
                <c:pt idx="7">
                  <c:v>84.666666666666671</c:v>
                </c:pt>
                <c:pt idx="8">
                  <c:v>89</c:v>
                </c:pt>
                <c:pt idx="9">
                  <c:v>95.666666666666671</c:v>
                </c:pt>
                <c:pt idx="10">
                  <c:v>86</c:v>
                </c:pt>
                <c:pt idx="11">
                  <c:v>89</c:v>
                </c:pt>
                <c:pt idx="12">
                  <c:v>86.5</c:v>
                </c:pt>
                <c:pt idx="13">
                  <c:v>92.666666666666671</c:v>
                </c:pt>
                <c:pt idx="14">
                  <c:v>81</c:v>
                </c:pt>
                <c:pt idx="15">
                  <c:v>87</c:v>
                </c:pt>
                <c:pt idx="16">
                  <c:v>97</c:v>
                </c:pt>
                <c:pt idx="17">
                  <c:v>97.5</c:v>
                </c:pt>
                <c:pt idx="18">
                  <c:v>88.5</c:v>
                </c:pt>
                <c:pt idx="19">
                  <c:v>100</c:v>
                </c:pt>
                <c:pt idx="20">
                  <c:v>91</c:v>
                </c:pt>
                <c:pt idx="21">
                  <c:v>78.25</c:v>
                </c:pt>
                <c:pt idx="22">
                  <c:v>83</c:v>
                </c:pt>
                <c:pt idx="23">
                  <c:v>84</c:v>
                </c:pt>
                <c:pt idx="24">
                  <c:v>91</c:v>
                </c:pt>
                <c:pt idx="25">
                  <c:v>87.666666666666671</c:v>
                </c:pt>
                <c:pt idx="26">
                  <c:v>103</c:v>
                </c:pt>
                <c:pt idx="27">
                  <c:v>82.5</c:v>
                </c:pt>
                <c:pt idx="28">
                  <c:v>91</c:v>
                </c:pt>
                <c:pt idx="29">
                  <c:v>91.75</c:v>
                </c:pt>
                <c:pt idx="30">
                  <c:v>83</c:v>
                </c:pt>
                <c:pt idx="31">
                  <c:v>100.33333333333333</c:v>
                </c:pt>
                <c:pt idx="32">
                  <c:v>80</c:v>
                </c:pt>
                <c:pt idx="33">
                  <c:v>94</c:v>
                </c:pt>
                <c:pt idx="34">
                  <c:v>95</c:v>
                </c:pt>
                <c:pt idx="35">
                  <c:v>108</c:v>
                </c:pt>
                <c:pt idx="36">
                  <c:v>93.25</c:v>
                </c:pt>
                <c:pt idx="37">
                  <c:v>90</c:v>
                </c:pt>
                <c:pt idx="38">
                  <c:v>92.25</c:v>
                </c:pt>
                <c:pt idx="39">
                  <c:v>74</c:v>
                </c:pt>
                <c:pt idx="40">
                  <c:v>85.5</c:v>
                </c:pt>
                <c:pt idx="41">
                  <c:v>90</c:v>
                </c:pt>
                <c:pt idx="42">
                  <c:v>90</c:v>
                </c:pt>
                <c:pt idx="43">
                  <c:v>84</c:v>
                </c:pt>
                <c:pt idx="44">
                  <c:v>92.5</c:v>
                </c:pt>
                <c:pt idx="45">
                  <c:v>84</c:v>
                </c:pt>
                <c:pt idx="46">
                  <c:v>92</c:v>
                </c:pt>
                <c:pt idx="47">
                  <c:v>85.5</c:v>
                </c:pt>
                <c:pt idx="48">
                  <c:v>93</c:v>
                </c:pt>
                <c:pt idx="49">
                  <c:v>79</c:v>
                </c:pt>
                <c:pt idx="50">
                  <c:v>91.5</c:v>
                </c:pt>
              </c:numCache>
            </c:numRef>
          </c:val>
          <c:smooth val="0"/>
          <c:extLst>
            <c:ext xmlns:c16="http://schemas.microsoft.com/office/drawing/2014/chart" uri="{C3380CC4-5D6E-409C-BE32-E72D297353CC}">
              <c16:uniqueId val="{00000001-BF17-4DB3-BED8-DA17A47F8A9B}"/>
            </c:ext>
          </c:extLst>
        </c:ser>
        <c:dLbls>
          <c:showLegendKey val="0"/>
          <c:showVal val="0"/>
          <c:showCatName val="0"/>
          <c:showSerName val="0"/>
          <c:showPercent val="0"/>
          <c:showBubbleSize val="0"/>
        </c:dLbls>
        <c:marker val="1"/>
        <c:smooth val="0"/>
        <c:axId val="759209296"/>
        <c:axId val="759207856"/>
      </c:lineChart>
      <c:catAx>
        <c:axId val="75920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07856"/>
        <c:crosses val="autoZero"/>
        <c:auto val="1"/>
        <c:lblAlgn val="ctr"/>
        <c:lblOffset val="100"/>
        <c:noMultiLvlLbl val="0"/>
      </c:catAx>
      <c:valAx>
        <c:axId val="75920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0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Table!PivotTable3</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Max Blood Pressure in UK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Max of Systolic BP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Table'!$A$13:$A$15</c:f>
              <c:strCache>
                <c:ptCount val="2"/>
                <c:pt idx="0">
                  <c:v>Female</c:v>
                </c:pt>
                <c:pt idx="1">
                  <c:v>Male</c:v>
                </c:pt>
              </c:strCache>
            </c:strRef>
          </c:cat>
          <c:val>
            <c:numRef>
              <c:f>'Pivot Table'!$B$13:$B$15</c:f>
              <c:numCache>
                <c:formatCode>General</c:formatCode>
                <c:ptCount val="2"/>
                <c:pt idx="0">
                  <c:v>178</c:v>
                </c:pt>
                <c:pt idx="1">
                  <c:v>174</c:v>
                </c:pt>
              </c:numCache>
            </c:numRef>
          </c:val>
          <c:extLst>
            <c:ext xmlns:c16="http://schemas.microsoft.com/office/drawing/2014/chart" uri="{C3380CC4-5D6E-409C-BE32-E72D297353CC}">
              <c16:uniqueId val="{00000000-7E19-4447-8903-A2515B848F9A}"/>
            </c:ext>
          </c:extLst>
        </c:ser>
        <c:ser>
          <c:idx val="1"/>
          <c:order val="1"/>
          <c:tx>
            <c:strRef>
              <c:f>'Pivot Table'!$C$12</c:f>
              <c:strCache>
                <c:ptCount val="1"/>
                <c:pt idx="0">
                  <c:v>Max of Diastolic BP</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Table'!$A$13:$A$15</c:f>
              <c:strCache>
                <c:ptCount val="2"/>
                <c:pt idx="0">
                  <c:v>Female</c:v>
                </c:pt>
                <c:pt idx="1">
                  <c:v>Male</c:v>
                </c:pt>
              </c:strCache>
            </c:strRef>
          </c:cat>
          <c:val>
            <c:numRef>
              <c:f>'Pivot Table'!$C$13:$C$15</c:f>
              <c:numCache>
                <c:formatCode>General</c:formatCode>
                <c:ptCount val="2"/>
                <c:pt idx="0">
                  <c:v>109</c:v>
                </c:pt>
                <c:pt idx="1">
                  <c:v>108</c:v>
                </c:pt>
              </c:numCache>
            </c:numRef>
          </c:val>
          <c:extLst>
            <c:ext xmlns:c16="http://schemas.microsoft.com/office/drawing/2014/chart" uri="{C3380CC4-5D6E-409C-BE32-E72D297353CC}">
              <c16:uniqueId val="{00000001-7E19-4447-8903-A2515B848F9A}"/>
            </c:ext>
          </c:extLst>
        </c:ser>
        <c:dLbls>
          <c:dLblPos val="outEnd"/>
          <c:showLegendKey val="0"/>
          <c:showVal val="1"/>
          <c:showCatName val="0"/>
          <c:showSerName val="0"/>
          <c:showPercent val="0"/>
          <c:showBubbleSize val="0"/>
        </c:dLbls>
        <c:gapWidth val="100"/>
        <c:overlap val="-24"/>
        <c:axId val="159144400"/>
        <c:axId val="159153520"/>
      </c:barChart>
      <c:catAx>
        <c:axId val="159144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153520"/>
        <c:crosses val="autoZero"/>
        <c:auto val="1"/>
        <c:lblAlgn val="ctr"/>
        <c:lblOffset val="100"/>
        <c:noMultiLvlLbl val="0"/>
      </c:catAx>
      <c:valAx>
        <c:axId val="1591535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144400"/>
        <c:crosses val="autoZero"/>
        <c:crossBetween val="between"/>
      </c:valAx>
      <c:spPr>
        <a:noFill/>
        <a:ln>
          <a:noFill/>
        </a:ln>
        <a:effectLst/>
      </c:spPr>
    </c:plotArea>
    <c:legend>
      <c:legendPos val="r"/>
      <c:layout>
        <c:manualLayout>
          <c:xMode val="edge"/>
          <c:yMode val="edge"/>
          <c:x val="0.7415266680593201"/>
          <c:y val="0.52212683092032863"/>
          <c:w val="0.22512924892877909"/>
          <c:h val="0.25498339589271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Systolic BP by Age  and Residence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Rural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Table'!$A$21:$A$24</c:f>
              <c:strCache>
                <c:ptCount val="3"/>
                <c:pt idx="0">
                  <c:v>18-29</c:v>
                </c:pt>
                <c:pt idx="1">
                  <c:v>30-44</c:v>
                </c:pt>
                <c:pt idx="2">
                  <c:v>45-55+</c:v>
                </c:pt>
              </c:strCache>
            </c:strRef>
          </c:cat>
          <c:val>
            <c:numRef>
              <c:f>'Pivot Table'!$B$21:$B$24</c:f>
              <c:numCache>
                <c:formatCode>General</c:formatCode>
                <c:ptCount val="3"/>
                <c:pt idx="0">
                  <c:v>145</c:v>
                </c:pt>
                <c:pt idx="1">
                  <c:v>142.84615384615384</c:v>
                </c:pt>
                <c:pt idx="2">
                  <c:v>145.36000000000001</c:v>
                </c:pt>
              </c:numCache>
            </c:numRef>
          </c:val>
          <c:extLst>
            <c:ext xmlns:c16="http://schemas.microsoft.com/office/drawing/2014/chart" uri="{C3380CC4-5D6E-409C-BE32-E72D297353CC}">
              <c16:uniqueId val="{00000000-3A04-47E3-BE33-2B01391F52CF}"/>
            </c:ext>
          </c:extLst>
        </c:ser>
        <c:ser>
          <c:idx val="1"/>
          <c:order val="1"/>
          <c:tx>
            <c:strRef>
              <c:f>'Pivot Table'!$C$19:$C$20</c:f>
              <c:strCache>
                <c:ptCount val="1"/>
                <c:pt idx="0">
                  <c:v>Suburban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Table'!$A$21:$A$24</c:f>
              <c:strCache>
                <c:ptCount val="3"/>
                <c:pt idx="0">
                  <c:v>18-29</c:v>
                </c:pt>
                <c:pt idx="1">
                  <c:v>30-44</c:v>
                </c:pt>
                <c:pt idx="2">
                  <c:v>45-55+</c:v>
                </c:pt>
              </c:strCache>
            </c:strRef>
          </c:cat>
          <c:val>
            <c:numRef>
              <c:f>'Pivot Table'!$C$21:$C$24</c:f>
              <c:numCache>
                <c:formatCode>General</c:formatCode>
                <c:ptCount val="3"/>
                <c:pt idx="1">
                  <c:v>149</c:v>
                </c:pt>
                <c:pt idx="2">
                  <c:v>139.80000000000001</c:v>
                </c:pt>
              </c:numCache>
            </c:numRef>
          </c:val>
          <c:extLst>
            <c:ext xmlns:c16="http://schemas.microsoft.com/office/drawing/2014/chart" uri="{C3380CC4-5D6E-409C-BE32-E72D297353CC}">
              <c16:uniqueId val="{00000005-3A04-47E3-BE33-2B01391F52CF}"/>
            </c:ext>
          </c:extLst>
        </c:ser>
        <c:ser>
          <c:idx val="2"/>
          <c:order val="2"/>
          <c:tx>
            <c:strRef>
              <c:f>'Pivot Table'!$D$19:$D$20</c:f>
              <c:strCache>
                <c:ptCount val="1"/>
                <c:pt idx="0">
                  <c:v>Urban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Table'!$A$21:$A$24</c:f>
              <c:strCache>
                <c:ptCount val="3"/>
                <c:pt idx="0">
                  <c:v>18-29</c:v>
                </c:pt>
                <c:pt idx="1">
                  <c:v>30-44</c:v>
                </c:pt>
                <c:pt idx="2">
                  <c:v>45-55+</c:v>
                </c:pt>
              </c:strCache>
            </c:strRef>
          </c:cat>
          <c:val>
            <c:numRef>
              <c:f>'Pivot Table'!$D$21:$D$24</c:f>
              <c:numCache>
                <c:formatCode>General</c:formatCode>
                <c:ptCount val="3"/>
                <c:pt idx="0">
                  <c:v>144.5</c:v>
                </c:pt>
                <c:pt idx="1">
                  <c:v>139.46666666666667</c:v>
                </c:pt>
                <c:pt idx="2">
                  <c:v>143.13636363636363</c:v>
                </c:pt>
              </c:numCache>
            </c:numRef>
          </c:val>
          <c:extLst>
            <c:ext xmlns:c16="http://schemas.microsoft.com/office/drawing/2014/chart" uri="{C3380CC4-5D6E-409C-BE32-E72D297353CC}">
              <c16:uniqueId val="{00000006-3A04-47E3-BE33-2B01391F52CF}"/>
            </c:ext>
          </c:extLst>
        </c:ser>
        <c:dLbls>
          <c:showLegendKey val="0"/>
          <c:showVal val="0"/>
          <c:showCatName val="0"/>
          <c:showSerName val="0"/>
          <c:showPercent val="0"/>
          <c:showBubbleSize val="0"/>
        </c:dLbls>
        <c:gapWidth val="100"/>
        <c:overlap val="-24"/>
        <c:axId val="372734736"/>
        <c:axId val="372736176"/>
      </c:barChart>
      <c:catAx>
        <c:axId val="3727347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736176"/>
        <c:crosses val="autoZero"/>
        <c:auto val="1"/>
        <c:lblAlgn val="ctr"/>
        <c:lblOffset val="100"/>
        <c:noMultiLvlLbl val="0"/>
      </c:catAx>
      <c:valAx>
        <c:axId val="3727361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73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BP by Exercise Level</a:t>
            </a:r>
          </a:p>
        </c:rich>
      </c:tx>
      <c:layout>
        <c:manualLayout>
          <c:xMode val="edge"/>
          <c:yMode val="edge"/>
          <c:x val="0.30127172236050431"/>
          <c:y val="0.228361859425879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Average of Systolic BP</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Table'!$A$35:$A$37</c:f>
              <c:strCache>
                <c:ptCount val="2"/>
                <c:pt idx="0">
                  <c:v>No</c:v>
                </c:pt>
                <c:pt idx="1">
                  <c:v>Yes</c:v>
                </c:pt>
              </c:strCache>
            </c:strRef>
          </c:cat>
          <c:val>
            <c:numRef>
              <c:f>'Pivot Table'!$B$35:$B$37</c:f>
              <c:numCache>
                <c:formatCode>General</c:formatCode>
                <c:ptCount val="2"/>
                <c:pt idx="0">
                  <c:v>143.75</c:v>
                </c:pt>
                <c:pt idx="1">
                  <c:v>143.34210526315789</c:v>
                </c:pt>
              </c:numCache>
            </c:numRef>
          </c:val>
          <c:extLst>
            <c:ext xmlns:c16="http://schemas.microsoft.com/office/drawing/2014/chart" uri="{C3380CC4-5D6E-409C-BE32-E72D297353CC}">
              <c16:uniqueId val="{00000000-3D23-453E-A4E6-0E961D69F4F2}"/>
            </c:ext>
          </c:extLst>
        </c:ser>
        <c:ser>
          <c:idx val="1"/>
          <c:order val="1"/>
          <c:tx>
            <c:strRef>
              <c:f>'Pivot Table'!$C$34</c:f>
              <c:strCache>
                <c:ptCount val="1"/>
                <c:pt idx="0">
                  <c:v>Average of Diastolic BP</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Table'!$A$35:$A$37</c:f>
              <c:strCache>
                <c:ptCount val="2"/>
                <c:pt idx="0">
                  <c:v>No</c:v>
                </c:pt>
                <c:pt idx="1">
                  <c:v>Yes</c:v>
                </c:pt>
              </c:strCache>
            </c:strRef>
          </c:cat>
          <c:val>
            <c:numRef>
              <c:f>'Pivot Table'!$C$35:$C$37</c:f>
              <c:numCache>
                <c:formatCode>General</c:formatCode>
                <c:ptCount val="2"/>
                <c:pt idx="0">
                  <c:v>88</c:v>
                </c:pt>
                <c:pt idx="1">
                  <c:v>88.94736842105263</c:v>
                </c:pt>
              </c:numCache>
            </c:numRef>
          </c:val>
          <c:extLst>
            <c:ext xmlns:c16="http://schemas.microsoft.com/office/drawing/2014/chart" uri="{C3380CC4-5D6E-409C-BE32-E72D297353CC}">
              <c16:uniqueId val="{00000001-3D23-453E-A4E6-0E961D69F4F2}"/>
            </c:ext>
          </c:extLst>
        </c:ser>
        <c:dLbls>
          <c:showLegendKey val="0"/>
          <c:showVal val="0"/>
          <c:showCatName val="0"/>
          <c:showSerName val="0"/>
          <c:showPercent val="0"/>
          <c:showBubbleSize val="0"/>
        </c:dLbls>
        <c:gapWidth val="100"/>
        <c:overlap val="-24"/>
        <c:axId val="372816336"/>
        <c:axId val="372838416"/>
      </c:barChart>
      <c:catAx>
        <c:axId val="3728163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838416"/>
        <c:crosses val="autoZero"/>
        <c:auto val="1"/>
        <c:lblAlgn val="ctr"/>
        <c:lblOffset val="100"/>
        <c:noMultiLvlLbl val="0"/>
      </c:catAx>
      <c:valAx>
        <c:axId val="372838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81633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Table!PivotTable7</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Medication Count vs BP Control Status</a:t>
            </a:r>
          </a:p>
        </c:rich>
      </c:tx>
      <c:layout>
        <c:manualLayout>
          <c:xMode val="edge"/>
          <c:yMode val="edge"/>
          <c:x val="0.31557199728673319"/>
          <c:y val="7.42154885771621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50980866600293"/>
          <c:y val="0.29615998695970769"/>
          <c:w val="0.54846891483687643"/>
          <c:h val="0.43854507667085318"/>
        </c:manualLayout>
      </c:layout>
      <c:bar3DChart>
        <c:barDir val="col"/>
        <c:grouping val="clustered"/>
        <c:varyColors val="0"/>
        <c:ser>
          <c:idx val="0"/>
          <c:order val="0"/>
          <c:tx>
            <c:strRef>
              <c:f>'Pivot Table'!$B$52:$B$54</c:f>
              <c:strCache>
                <c:ptCount val="1"/>
                <c:pt idx="0">
                  <c:v>Average of Systolic BP - Controlled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Table'!$B$55:$B$57</c:f>
              <c:numCache>
                <c:formatCode>General</c:formatCode>
                <c:ptCount val="2"/>
                <c:pt idx="0">
                  <c:v>144.05555555555554</c:v>
                </c:pt>
                <c:pt idx="1">
                  <c:v>136.57142857142858</c:v>
                </c:pt>
              </c:numCache>
            </c:numRef>
          </c:val>
          <c:extLst>
            <c:ext xmlns:c16="http://schemas.microsoft.com/office/drawing/2014/chart" uri="{C3380CC4-5D6E-409C-BE32-E72D297353CC}">
              <c16:uniqueId val="{00000000-C375-46FB-973D-62154E4CCFB1}"/>
            </c:ext>
          </c:extLst>
        </c:ser>
        <c:ser>
          <c:idx val="1"/>
          <c:order val="1"/>
          <c:tx>
            <c:strRef>
              <c:f>'Pivot Table'!$C$52:$C$54</c:f>
              <c:strCache>
                <c:ptCount val="1"/>
                <c:pt idx="0">
                  <c:v>Average of Systolic BP - Uncontrolled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Table'!$C$55:$C$57</c:f>
              <c:numCache>
                <c:formatCode>General</c:formatCode>
                <c:ptCount val="2"/>
                <c:pt idx="0">
                  <c:v>142.59322033898306</c:v>
                </c:pt>
                <c:pt idx="1">
                  <c:v>148.875</c:v>
                </c:pt>
              </c:numCache>
            </c:numRef>
          </c:val>
          <c:extLst>
            <c:ext xmlns:c16="http://schemas.microsoft.com/office/drawing/2014/chart" uri="{C3380CC4-5D6E-409C-BE32-E72D297353CC}">
              <c16:uniqueId val="{00000001-C375-46FB-973D-62154E4CCFB1}"/>
            </c:ext>
          </c:extLst>
        </c:ser>
        <c:ser>
          <c:idx val="2"/>
          <c:order val="2"/>
          <c:tx>
            <c:strRef>
              <c:f>'Pivot Table'!$D$52:$D$54</c:f>
              <c:strCache>
                <c:ptCount val="1"/>
                <c:pt idx="0">
                  <c:v>Average of Diastolic BP - Controlled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Table'!$D$55:$D$57</c:f>
              <c:numCache>
                <c:formatCode>General</c:formatCode>
                <c:ptCount val="2"/>
                <c:pt idx="0">
                  <c:v>88.277777777777771</c:v>
                </c:pt>
                <c:pt idx="1">
                  <c:v>93.857142857142861</c:v>
                </c:pt>
              </c:numCache>
            </c:numRef>
          </c:val>
          <c:extLst>
            <c:ext xmlns:c16="http://schemas.microsoft.com/office/drawing/2014/chart" uri="{C3380CC4-5D6E-409C-BE32-E72D297353CC}">
              <c16:uniqueId val="{00000005-C375-46FB-973D-62154E4CCFB1}"/>
            </c:ext>
          </c:extLst>
        </c:ser>
        <c:ser>
          <c:idx val="3"/>
          <c:order val="3"/>
          <c:tx>
            <c:strRef>
              <c:f>'Pivot Table'!$E$52:$E$54</c:f>
              <c:strCache>
                <c:ptCount val="1"/>
                <c:pt idx="0">
                  <c:v>Average of Diastolic BP - Uncontrolled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Table'!$A$55:$A$57</c:f>
              <c:strCache>
                <c:ptCount val="2"/>
                <c:pt idx="0">
                  <c:v>Combination Drugs</c:v>
                </c:pt>
                <c:pt idx="1">
                  <c:v>Single Drug</c:v>
                </c:pt>
              </c:strCache>
            </c:strRef>
          </c:cat>
          <c:val>
            <c:numRef>
              <c:f>'Pivot Table'!$E$55:$E$57</c:f>
              <c:numCache>
                <c:formatCode>General</c:formatCode>
                <c:ptCount val="2"/>
                <c:pt idx="0">
                  <c:v>88.711864406779668</c:v>
                </c:pt>
                <c:pt idx="1">
                  <c:v>87</c:v>
                </c:pt>
              </c:numCache>
            </c:numRef>
          </c:val>
          <c:extLst>
            <c:ext xmlns:c16="http://schemas.microsoft.com/office/drawing/2014/chart" uri="{C3380CC4-5D6E-409C-BE32-E72D297353CC}">
              <c16:uniqueId val="{00000006-C375-46FB-973D-62154E4CCFB1}"/>
            </c:ext>
          </c:extLst>
        </c:ser>
        <c:dLbls>
          <c:showLegendKey val="0"/>
          <c:showVal val="0"/>
          <c:showCatName val="0"/>
          <c:showSerName val="0"/>
          <c:showPercent val="0"/>
          <c:showBubbleSize val="0"/>
        </c:dLbls>
        <c:gapWidth val="150"/>
        <c:shape val="box"/>
        <c:axId val="372463264"/>
        <c:axId val="372464224"/>
        <c:axId val="0"/>
      </c:bar3DChart>
      <c:catAx>
        <c:axId val="372463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464224"/>
        <c:crosses val="autoZero"/>
        <c:auto val="1"/>
        <c:lblAlgn val="ctr"/>
        <c:lblOffset val="100"/>
        <c:noMultiLvlLbl val="0"/>
      </c:catAx>
      <c:valAx>
        <c:axId val="372464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463264"/>
        <c:crosses val="autoZero"/>
        <c:crossBetween val="between"/>
      </c:valAx>
      <c:spPr>
        <a:noFill/>
        <a:ln>
          <a:noFill/>
        </a:ln>
        <a:effectLst/>
      </c:spPr>
    </c:plotArea>
    <c:legend>
      <c:legendPos val="r"/>
      <c:layout>
        <c:manualLayout>
          <c:xMode val="edge"/>
          <c:yMode val="edge"/>
          <c:x val="0.78300850996612414"/>
          <c:y val="0.32522789786719281"/>
          <c:w val="0.1839201284518828"/>
          <c:h val="0.37156701547548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Table!PivotTable8</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BP by Smoking Status and Dietary Habits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Table'!$B$83</c:f>
              <c:strCache>
                <c:ptCount val="1"/>
                <c:pt idx="0">
                  <c:v>Average of Systolic BP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Table'!$A$84:$A$90</c:f>
              <c:multiLvlStrCache>
                <c:ptCount val="4"/>
                <c:lvl>
                  <c:pt idx="0">
                    <c:v>Healthy</c:v>
                  </c:pt>
                  <c:pt idx="1">
                    <c:v>Unhealthy</c:v>
                  </c:pt>
                  <c:pt idx="2">
                    <c:v>Healthy</c:v>
                  </c:pt>
                  <c:pt idx="3">
                    <c:v>Unhealthy</c:v>
                  </c:pt>
                </c:lvl>
                <c:lvl>
                  <c:pt idx="0">
                    <c:v>No</c:v>
                  </c:pt>
                  <c:pt idx="2">
                    <c:v>Yes</c:v>
                  </c:pt>
                </c:lvl>
              </c:multiLvlStrCache>
            </c:multiLvlStrRef>
          </c:cat>
          <c:val>
            <c:numRef>
              <c:f>'Pivot Table'!$B$84:$B$90</c:f>
              <c:numCache>
                <c:formatCode>General</c:formatCode>
                <c:ptCount val="4"/>
                <c:pt idx="0">
                  <c:v>142.08333333333334</c:v>
                </c:pt>
                <c:pt idx="1">
                  <c:v>142.2439024390244</c:v>
                </c:pt>
                <c:pt idx="2">
                  <c:v>150.75</c:v>
                </c:pt>
                <c:pt idx="3">
                  <c:v>162</c:v>
                </c:pt>
              </c:numCache>
            </c:numRef>
          </c:val>
          <c:extLst>
            <c:ext xmlns:c16="http://schemas.microsoft.com/office/drawing/2014/chart" uri="{C3380CC4-5D6E-409C-BE32-E72D297353CC}">
              <c16:uniqueId val="{00000000-1D0C-4640-B9D5-C4E8479423B4}"/>
            </c:ext>
          </c:extLst>
        </c:ser>
        <c:dLbls>
          <c:showLegendKey val="0"/>
          <c:showVal val="0"/>
          <c:showCatName val="0"/>
          <c:showSerName val="0"/>
          <c:showPercent val="0"/>
          <c:showBubbleSize val="0"/>
        </c:dLbls>
        <c:gapWidth val="269"/>
        <c:axId val="759099856"/>
        <c:axId val="759084016"/>
      </c:barChart>
      <c:lineChart>
        <c:grouping val="standard"/>
        <c:varyColors val="0"/>
        <c:ser>
          <c:idx val="1"/>
          <c:order val="1"/>
          <c:tx>
            <c:strRef>
              <c:f>'Pivot Table'!$C$83</c:f>
              <c:strCache>
                <c:ptCount val="1"/>
                <c:pt idx="0">
                  <c:v>Average of Diastolic BP</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'Pivot Table'!$A$84:$A$90</c:f>
              <c:multiLvlStrCache>
                <c:ptCount val="4"/>
                <c:lvl>
                  <c:pt idx="0">
                    <c:v>Healthy</c:v>
                  </c:pt>
                  <c:pt idx="1">
                    <c:v>Unhealthy</c:v>
                  </c:pt>
                  <c:pt idx="2">
                    <c:v>Healthy</c:v>
                  </c:pt>
                  <c:pt idx="3">
                    <c:v>Unhealthy</c:v>
                  </c:pt>
                </c:lvl>
                <c:lvl>
                  <c:pt idx="0">
                    <c:v>No</c:v>
                  </c:pt>
                  <c:pt idx="2">
                    <c:v>Yes</c:v>
                  </c:pt>
                </c:lvl>
              </c:multiLvlStrCache>
            </c:multiLvlStrRef>
          </c:cat>
          <c:val>
            <c:numRef>
              <c:f>'Pivot Table'!$C$84:$C$90</c:f>
              <c:numCache>
                <c:formatCode>General</c:formatCode>
                <c:ptCount val="4"/>
                <c:pt idx="0">
                  <c:v>88.604166666666671</c:v>
                </c:pt>
                <c:pt idx="1">
                  <c:v>88.878048780487802</c:v>
                </c:pt>
                <c:pt idx="2">
                  <c:v>88.25</c:v>
                </c:pt>
                <c:pt idx="3">
                  <c:v>89.666666666666671</c:v>
                </c:pt>
              </c:numCache>
            </c:numRef>
          </c:val>
          <c:smooth val="0"/>
          <c:extLst>
            <c:ext xmlns:c16="http://schemas.microsoft.com/office/drawing/2014/chart" uri="{C3380CC4-5D6E-409C-BE32-E72D297353CC}">
              <c16:uniqueId val="{00000001-1D0C-4640-B9D5-C4E8479423B4}"/>
            </c:ext>
          </c:extLst>
        </c:ser>
        <c:dLbls>
          <c:showLegendKey val="0"/>
          <c:showVal val="0"/>
          <c:showCatName val="0"/>
          <c:showSerName val="0"/>
          <c:showPercent val="0"/>
          <c:showBubbleSize val="0"/>
        </c:dLbls>
        <c:marker val="1"/>
        <c:smooth val="0"/>
        <c:axId val="759085456"/>
        <c:axId val="759084976"/>
      </c:lineChart>
      <c:catAx>
        <c:axId val="7590998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084016"/>
        <c:crosses val="autoZero"/>
        <c:auto val="1"/>
        <c:lblAlgn val="ctr"/>
        <c:lblOffset val="100"/>
        <c:noMultiLvlLbl val="0"/>
      </c:catAx>
      <c:valAx>
        <c:axId val="759084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099856"/>
        <c:crosses val="autoZero"/>
        <c:crossBetween val="between"/>
      </c:valAx>
      <c:valAx>
        <c:axId val="7590849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085456"/>
        <c:crosses val="max"/>
        <c:crossBetween val="between"/>
      </c:valAx>
      <c:catAx>
        <c:axId val="759085456"/>
        <c:scaling>
          <c:orientation val="minMax"/>
        </c:scaling>
        <c:delete val="1"/>
        <c:axPos val="b"/>
        <c:numFmt formatCode="General" sourceLinked="1"/>
        <c:majorTickMark val="none"/>
        <c:minorTickMark val="none"/>
        <c:tickLblPos val="nextTo"/>
        <c:crossAx val="759084976"/>
        <c:crosses val="autoZero"/>
        <c:auto val="1"/>
        <c:lblAlgn val="ctr"/>
        <c:lblOffset val="100"/>
        <c:noMultiLvlLbl val="0"/>
      </c:cat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[UK_Hypertension_Dataset_100.xlsx]Pivot Table!PivotTable9</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BP by City(UK)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Table'!$B$112</c:f>
              <c:strCache>
                <c:ptCount val="1"/>
                <c:pt idx="0">
                  <c:v>Average of Systolic BP</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Table'!$A$113:$A$164</c:f>
              <c:strCache>
                <c:ptCount val="51"/>
                <c:pt idx="0">
                  <c:v>Aberaeron</c:v>
                </c:pt>
                <c:pt idx="1">
                  <c:v>Alnwick</c:v>
                </c:pt>
                <c:pt idx="2">
                  <c:v>Alston</c:v>
                </c:pt>
                <c:pt idx="3">
                  <c:v>Appleby-in-Westmorland</c:v>
                </c:pt>
                <c:pt idx="4">
                  <c:v>Basildon</c:v>
                </c:pt>
                <c:pt idx="5">
                  <c:v>Belfast</c:v>
                </c:pt>
                <c:pt idx="6">
                  <c:v>Birmingham</c:v>
                </c:pt>
                <c:pt idx="7">
                  <c:v>Bradford</c:v>
                </c:pt>
                <c:pt idx="8">
                  <c:v>Bristol</c:v>
                </c:pt>
                <c:pt idx="9">
                  <c:v>Builth Wells</c:v>
                </c:pt>
                <c:pt idx="10">
                  <c:v>Cardiff</c:v>
                </c:pt>
                <c:pt idx="11">
                  <c:v>Chelmsford</c:v>
                </c:pt>
                <c:pt idx="12">
                  <c:v>Coventry</c:v>
                </c:pt>
                <c:pt idx="13">
                  <c:v>Crawley</c:v>
                </c:pt>
                <c:pt idx="14">
                  <c:v>Derby</c:v>
                </c:pt>
                <c:pt idx="15">
                  <c:v>Dolgellau</c:v>
                </c:pt>
                <c:pt idx="16">
                  <c:v>Dornoch</c:v>
                </c:pt>
                <c:pt idx="17">
                  <c:v>Durness</c:v>
                </c:pt>
                <c:pt idx="18">
                  <c:v>Glasgow</c:v>
                </c:pt>
                <c:pt idx="19">
                  <c:v>Guildford</c:v>
                </c:pt>
                <c:pt idx="20">
                  <c:v>Harrogate</c:v>
                </c:pt>
                <c:pt idx="21">
                  <c:v>Hawes</c:v>
                </c:pt>
                <c:pt idx="22">
                  <c:v>Hay-on-Wye</c:v>
                </c:pt>
                <c:pt idx="23">
                  <c:v>Helmsdale</c:v>
                </c:pt>
                <c:pt idx="24">
                  <c:v>Hexham</c:v>
                </c:pt>
                <c:pt idx="25">
                  <c:v>Inveraray</c:v>
                </c:pt>
                <c:pt idx="26">
                  <c:v>Ipswich</c:v>
                </c:pt>
                <c:pt idx="27">
                  <c:v>Kirkby Stephen</c:v>
                </c:pt>
                <c:pt idx="28">
                  <c:v>Leeds</c:v>
                </c:pt>
                <c:pt idx="29">
                  <c:v>Liverpool</c:v>
                </c:pt>
                <c:pt idx="30">
                  <c:v>Llandrindod Wells</c:v>
                </c:pt>
                <c:pt idx="31">
                  <c:v>London</c:v>
                </c:pt>
                <c:pt idx="32">
                  <c:v>Ludlow</c:v>
                </c:pt>
                <c:pt idx="33">
                  <c:v>Machynlleth</c:v>
                </c:pt>
                <c:pt idx="34">
                  <c:v>Manchester</c:v>
                </c:pt>
                <c:pt idx="35">
                  <c:v>Northampton</c:v>
                </c:pt>
                <c:pt idx="36">
                  <c:v>Nottingham</c:v>
                </c:pt>
                <c:pt idx="37">
                  <c:v>Peterborough</c:v>
                </c:pt>
                <c:pt idx="38">
                  <c:v>Portsmouth</c:v>
                </c:pt>
                <c:pt idx="39">
                  <c:v>Settle</c:v>
                </c:pt>
                <c:pt idx="40">
                  <c:v>Sheffield</c:v>
                </c:pt>
                <c:pt idx="41">
                  <c:v>Solihull</c:v>
                </c:pt>
                <c:pt idx="42">
                  <c:v>Southampton</c:v>
                </c:pt>
                <c:pt idx="43">
                  <c:v>Stockport</c:v>
                </c:pt>
                <c:pt idx="44">
                  <c:v>Sutton Coldfield</c:v>
                </c:pt>
                <c:pt idx="45">
                  <c:v>Swindon</c:v>
                </c:pt>
                <c:pt idx="46">
                  <c:v>Tongue</c:v>
                </c:pt>
                <c:pt idx="47">
                  <c:v>Wakefield</c:v>
                </c:pt>
                <c:pt idx="48">
                  <c:v>Wells</c:v>
                </c:pt>
                <c:pt idx="49">
                  <c:v>Woking</c:v>
                </c:pt>
                <c:pt idx="50">
                  <c:v>Wolverhampton</c:v>
                </c:pt>
              </c:strCache>
            </c:strRef>
          </c:cat>
          <c:val>
            <c:numRef>
              <c:f>'Pivot Table'!$B$113:$B$164</c:f>
              <c:numCache>
                <c:formatCode>General</c:formatCode>
                <c:ptCount val="51"/>
                <c:pt idx="0">
                  <c:v>135</c:v>
                </c:pt>
                <c:pt idx="1">
                  <c:v>145</c:v>
                </c:pt>
                <c:pt idx="2">
                  <c:v>140</c:v>
                </c:pt>
                <c:pt idx="3">
                  <c:v>147.33333333333334</c:v>
                </c:pt>
                <c:pt idx="4">
                  <c:v>146</c:v>
                </c:pt>
                <c:pt idx="5">
                  <c:v>150</c:v>
                </c:pt>
                <c:pt idx="6">
                  <c:v>145</c:v>
                </c:pt>
                <c:pt idx="7">
                  <c:v>144</c:v>
                </c:pt>
                <c:pt idx="8">
                  <c:v>130</c:v>
                </c:pt>
                <c:pt idx="9">
                  <c:v>138.33333333333334</c:v>
                </c:pt>
                <c:pt idx="10">
                  <c:v>120</c:v>
                </c:pt>
                <c:pt idx="11">
                  <c:v>147.5</c:v>
                </c:pt>
                <c:pt idx="12">
                  <c:v>153</c:v>
                </c:pt>
                <c:pt idx="13">
                  <c:v>134.66666666666666</c:v>
                </c:pt>
                <c:pt idx="14">
                  <c:v>151</c:v>
                </c:pt>
                <c:pt idx="15">
                  <c:v>151</c:v>
                </c:pt>
                <c:pt idx="16">
                  <c:v>149</c:v>
                </c:pt>
                <c:pt idx="17">
                  <c:v>147.5</c:v>
                </c:pt>
                <c:pt idx="18">
                  <c:v>134.5</c:v>
                </c:pt>
                <c:pt idx="19">
                  <c:v>133</c:v>
                </c:pt>
                <c:pt idx="20">
                  <c:v>147.5</c:v>
                </c:pt>
                <c:pt idx="21">
                  <c:v>149.5</c:v>
                </c:pt>
                <c:pt idx="22">
                  <c:v>138</c:v>
                </c:pt>
                <c:pt idx="23">
                  <c:v>147.25</c:v>
                </c:pt>
                <c:pt idx="24">
                  <c:v>170</c:v>
                </c:pt>
                <c:pt idx="25">
                  <c:v>142.33333333333334</c:v>
                </c:pt>
                <c:pt idx="26">
                  <c:v>164</c:v>
                </c:pt>
                <c:pt idx="27">
                  <c:v>142.5</c:v>
                </c:pt>
                <c:pt idx="28">
                  <c:v>135</c:v>
                </c:pt>
                <c:pt idx="29">
                  <c:v>136.75</c:v>
                </c:pt>
                <c:pt idx="30">
                  <c:v>137.5</c:v>
                </c:pt>
                <c:pt idx="31">
                  <c:v>142.66666666666666</c:v>
                </c:pt>
                <c:pt idx="32">
                  <c:v>138</c:v>
                </c:pt>
                <c:pt idx="33">
                  <c:v>146</c:v>
                </c:pt>
                <c:pt idx="34">
                  <c:v>145</c:v>
                </c:pt>
                <c:pt idx="35">
                  <c:v>145</c:v>
                </c:pt>
                <c:pt idx="36">
                  <c:v>138</c:v>
                </c:pt>
                <c:pt idx="37">
                  <c:v>130</c:v>
                </c:pt>
                <c:pt idx="38">
                  <c:v>138.25</c:v>
                </c:pt>
                <c:pt idx="39">
                  <c:v>119</c:v>
                </c:pt>
                <c:pt idx="40">
                  <c:v>139.5</c:v>
                </c:pt>
                <c:pt idx="41">
                  <c:v>162</c:v>
                </c:pt>
                <c:pt idx="42">
                  <c:v>143.5</c:v>
                </c:pt>
                <c:pt idx="43">
                  <c:v>155</c:v>
                </c:pt>
                <c:pt idx="44">
                  <c:v>148.5</c:v>
                </c:pt>
                <c:pt idx="45">
                  <c:v>148</c:v>
                </c:pt>
                <c:pt idx="46">
                  <c:v>146.5</c:v>
                </c:pt>
                <c:pt idx="47">
                  <c:v>129</c:v>
                </c:pt>
                <c:pt idx="48">
                  <c:v>155</c:v>
                </c:pt>
                <c:pt idx="49">
                  <c:v>156</c:v>
                </c:pt>
                <c:pt idx="50">
                  <c:v>155</c:v>
                </c:pt>
              </c:numCache>
            </c:numRef>
          </c:val>
          <c:smooth val="0"/>
          <c:extLst>
            <c:ext xmlns:c16="http://schemas.microsoft.com/office/drawing/2014/chart" uri="{C3380CC4-5D6E-409C-BE32-E72D297353CC}">
              <c16:uniqueId val="{00000000-A6A7-4E8A-B8AC-0A91D2C8C4DF}"/>
            </c:ext>
          </c:extLst>
        </c:ser>
        <c:ser>
          <c:idx val="1"/>
          <c:order val="1"/>
          <c:tx>
            <c:strRef>
              <c:f>'Pivot Table'!$C$112</c:f>
              <c:strCache>
                <c:ptCount val="1"/>
                <c:pt idx="0">
                  <c:v>Average of Diastolic BP</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Table'!$A$113:$A$164</c:f>
              <c:strCache>
                <c:ptCount val="51"/>
                <c:pt idx="0">
                  <c:v>Aberaeron</c:v>
                </c:pt>
                <c:pt idx="1">
                  <c:v>Alnwick</c:v>
                </c:pt>
                <c:pt idx="2">
                  <c:v>Alston</c:v>
                </c:pt>
                <c:pt idx="3">
                  <c:v>Appleby-in-Westmorland</c:v>
                </c:pt>
                <c:pt idx="4">
                  <c:v>Basildon</c:v>
                </c:pt>
                <c:pt idx="5">
                  <c:v>Belfast</c:v>
                </c:pt>
                <c:pt idx="6">
                  <c:v>Birmingham</c:v>
                </c:pt>
                <c:pt idx="7">
                  <c:v>Bradford</c:v>
                </c:pt>
                <c:pt idx="8">
                  <c:v>Bristol</c:v>
                </c:pt>
                <c:pt idx="9">
                  <c:v>Builth Wells</c:v>
                </c:pt>
                <c:pt idx="10">
                  <c:v>Cardiff</c:v>
                </c:pt>
                <c:pt idx="11">
                  <c:v>Chelmsford</c:v>
                </c:pt>
                <c:pt idx="12">
                  <c:v>Coventry</c:v>
                </c:pt>
                <c:pt idx="13">
                  <c:v>Crawley</c:v>
                </c:pt>
                <c:pt idx="14">
                  <c:v>Derby</c:v>
                </c:pt>
                <c:pt idx="15">
                  <c:v>Dolgellau</c:v>
                </c:pt>
                <c:pt idx="16">
                  <c:v>Dornoch</c:v>
                </c:pt>
                <c:pt idx="17">
                  <c:v>Durness</c:v>
                </c:pt>
                <c:pt idx="18">
                  <c:v>Glasgow</c:v>
                </c:pt>
                <c:pt idx="19">
                  <c:v>Guildford</c:v>
                </c:pt>
                <c:pt idx="20">
                  <c:v>Harrogate</c:v>
                </c:pt>
                <c:pt idx="21">
                  <c:v>Hawes</c:v>
                </c:pt>
                <c:pt idx="22">
                  <c:v>Hay-on-Wye</c:v>
                </c:pt>
                <c:pt idx="23">
                  <c:v>Helmsdale</c:v>
                </c:pt>
                <c:pt idx="24">
                  <c:v>Hexham</c:v>
                </c:pt>
                <c:pt idx="25">
                  <c:v>Inveraray</c:v>
                </c:pt>
                <c:pt idx="26">
                  <c:v>Ipswich</c:v>
                </c:pt>
                <c:pt idx="27">
                  <c:v>Kirkby Stephen</c:v>
                </c:pt>
                <c:pt idx="28">
                  <c:v>Leeds</c:v>
                </c:pt>
                <c:pt idx="29">
                  <c:v>Liverpool</c:v>
                </c:pt>
                <c:pt idx="30">
                  <c:v>Llandrindod Wells</c:v>
                </c:pt>
                <c:pt idx="31">
                  <c:v>London</c:v>
                </c:pt>
                <c:pt idx="32">
                  <c:v>Ludlow</c:v>
                </c:pt>
                <c:pt idx="33">
                  <c:v>Machynlleth</c:v>
                </c:pt>
                <c:pt idx="34">
                  <c:v>Manchester</c:v>
                </c:pt>
                <c:pt idx="35">
                  <c:v>Northampton</c:v>
                </c:pt>
                <c:pt idx="36">
                  <c:v>Nottingham</c:v>
                </c:pt>
                <c:pt idx="37">
                  <c:v>Peterborough</c:v>
                </c:pt>
                <c:pt idx="38">
                  <c:v>Portsmouth</c:v>
                </c:pt>
                <c:pt idx="39">
                  <c:v>Settle</c:v>
                </c:pt>
                <c:pt idx="40">
                  <c:v>Sheffield</c:v>
                </c:pt>
                <c:pt idx="41">
                  <c:v>Solihull</c:v>
                </c:pt>
                <c:pt idx="42">
                  <c:v>Southampton</c:v>
                </c:pt>
                <c:pt idx="43">
                  <c:v>Stockport</c:v>
                </c:pt>
                <c:pt idx="44">
                  <c:v>Sutton Coldfield</c:v>
                </c:pt>
                <c:pt idx="45">
                  <c:v>Swindon</c:v>
                </c:pt>
                <c:pt idx="46">
                  <c:v>Tongue</c:v>
                </c:pt>
                <c:pt idx="47">
                  <c:v>Wakefield</c:v>
                </c:pt>
                <c:pt idx="48">
                  <c:v>Wells</c:v>
                </c:pt>
                <c:pt idx="49">
                  <c:v>Woking</c:v>
                </c:pt>
                <c:pt idx="50">
                  <c:v>Wolverhampton</c:v>
                </c:pt>
              </c:strCache>
            </c:strRef>
          </c:cat>
          <c:val>
            <c:numRef>
              <c:f>'Pivot Table'!$C$113:$C$164</c:f>
              <c:numCache>
                <c:formatCode>General</c:formatCode>
                <c:ptCount val="51"/>
                <c:pt idx="0">
                  <c:v>100.5</c:v>
                </c:pt>
                <c:pt idx="1">
                  <c:v>81</c:v>
                </c:pt>
                <c:pt idx="2">
                  <c:v>89</c:v>
                </c:pt>
                <c:pt idx="3">
                  <c:v>77</c:v>
                </c:pt>
                <c:pt idx="4">
                  <c:v>93</c:v>
                </c:pt>
                <c:pt idx="5">
                  <c:v>80</c:v>
                </c:pt>
                <c:pt idx="6">
                  <c:v>82.666666666666671</c:v>
                </c:pt>
                <c:pt idx="7">
                  <c:v>84.666666666666671</c:v>
                </c:pt>
                <c:pt idx="8">
                  <c:v>89</c:v>
                </c:pt>
                <c:pt idx="9">
                  <c:v>95.666666666666671</c:v>
                </c:pt>
                <c:pt idx="10">
                  <c:v>86</c:v>
                </c:pt>
                <c:pt idx="11">
                  <c:v>89</c:v>
                </c:pt>
                <c:pt idx="12">
                  <c:v>86.5</c:v>
                </c:pt>
                <c:pt idx="13">
                  <c:v>92.666666666666671</c:v>
                </c:pt>
                <c:pt idx="14">
                  <c:v>81</c:v>
                </c:pt>
                <c:pt idx="15">
                  <c:v>87</c:v>
                </c:pt>
                <c:pt idx="16">
                  <c:v>97</c:v>
                </c:pt>
                <c:pt idx="17">
                  <c:v>97.5</c:v>
                </c:pt>
                <c:pt idx="18">
                  <c:v>88.5</c:v>
                </c:pt>
                <c:pt idx="19">
                  <c:v>100</c:v>
                </c:pt>
                <c:pt idx="20">
                  <c:v>91</c:v>
                </c:pt>
                <c:pt idx="21">
                  <c:v>78.25</c:v>
                </c:pt>
                <c:pt idx="22">
                  <c:v>83</c:v>
                </c:pt>
                <c:pt idx="23">
                  <c:v>84</c:v>
                </c:pt>
                <c:pt idx="24">
                  <c:v>91</c:v>
                </c:pt>
                <c:pt idx="25">
                  <c:v>87.666666666666671</c:v>
                </c:pt>
                <c:pt idx="26">
                  <c:v>103</c:v>
                </c:pt>
                <c:pt idx="27">
                  <c:v>82.5</c:v>
                </c:pt>
                <c:pt idx="28">
                  <c:v>91</c:v>
                </c:pt>
                <c:pt idx="29">
                  <c:v>91.75</c:v>
                </c:pt>
                <c:pt idx="30">
                  <c:v>83</c:v>
                </c:pt>
                <c:pt idx="31">
                  <c:v>100.33333333333333</c:v>
                </c:pt>
                <c:pt idx="32">
                  <c:v>80</c:v>
                </c:pt>
                <c:pt idx="33">
                  <c:v>94</c:v>
                </c:pt>
                <c:pt idx="34">
                  <c:v>95</c:v>
                </c:pt>
                <c:pt idx="35">
                  <c:v>108</c:v>
                </c:pt>
                <c:pt idx="36">
                  <c:v>93.25</c:v>
                </c:pt>
                <c:pt idx="37">
                  <c:v>90</c:v>
                </c:pt>
                <c:pt idx="38">
                  <c:v>92.25</c:v>
                </c:pt>
                <c:pt idx="39">
                  <c:v>74</c:v>
                </c:pt>
                <c:pt idx="40">
                  <c:v>85.5</c:v>
                </c:pt>
                <c:pt idx="41">
                  <c:v>90</c:v>
                </c:pt>
                <c:pt idx="42">
                  <c:v>90</c:v>
                </c:pt>
                <c:pt idx="43">
                  <c:v>84</c:v>
                </c:pt>
                <c:pt idx="44">
                  <c:v>92.5</c:v>
                </c:pt>
                <c:pt idx="45">
                  <c:v>84</c:v>
                </c:pt>
                <c:pt idx="46">
                  <c:v>92</c:v>
                </c:pt>
                <c:pt idx="47">
                  <c:v>85.5</c:v>
                </c:pt>
                <c:pt idx="48">
                  <c:v>93</c:v>
                </c:pt>
                <c:pt idx="49">
                  <c:v>79</c:v>
                </c:pt>
                <c:pt idx="50">
                  <c:v>91.5</c:v>
                </c:pt>
              </c:numCache>
            </c:numRef>
          </c:val>
          <c:smooth val="0"/>
          <c:extLst>
            <c:ext xmlns:c16="http://schemas.microsoft.com/office/drawing/2014/chart" uri="{C3380CC4-5D6E-409C-BE32-E72D297353CC}">
              <c16:uniqueId val="{00000001-A6A7-4E8A-B8AC-0A91D2C8C4DF}"/>
            </c:ext>
          </c:extLst>
        </c:ser>
        <c:dLbls>
          <c:showLegendKey val="0"/>
          <c:showVal val="0"/>
          <c:showCatName val="0"/>
          <c:showSerName val="0"/>
          <c:showPercent val="0"/>
          <c:showBubbleSize val="0"/>
        </c:dLbls>
        <c:marker val="1"/>
        <c:smooth val="0"/>
        <c:axId val="759209296"/>
        <c:axId val="759207856"/>
      </c:lineChart>
      <c:catAx>
        <c:axId val="759209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207856"/>
        <c:crosses val="autoZero"/>
        <c:auto val="1"/>
        <c:lblAlgn val="ctr"/>
        <c:lblOffset val="100"/>
        <c:noMultiLvlLbl val="0"/>
      </c:catAx>
      <c:valAx>
        <c:axId val="7592078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20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243226</xdr:colOff>
      <xdr:row>0</xdr:row>
      <xdr:rowOff>0</xdr:rowOff>
    </xdr:from>
    <xdr:to>
      <xdr:col>6</xdr:col>
      <xdr:colOff>327422</xdr:colOff>
      <xdr:row>11</xdr:row>
      <xdr:rowOff>13947</xdr:rowOff>
    </xdr:to>
    <xdr:graphicFrame macro="">
      <xdr:nvGraphicFramePr>
        <xdr:cNvPr id="3" name="Chart 2">
          <a:extLst>
            <a:ext uri="{FF2B5EF4-FFF2-40B4-BE49-F238E27FC236}">
              <a16:creationId xmlns:a16="http://schemas.microsoft.com/office/drawing/2014/main" id="{7FF5C364-8DD1-EC93-5239-A4FCFF9BD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135730</xdr:colOff>
      <xdr:row>15</xdr:row>
      <xdr:rowOff>138113</xdr:rowOff>
    </xdr:from>
    <xdr:to>
      <xdr:col>8</xdr:col>
      <xdr:colOff>297655</xdr:colOff>
      <xdr:row>30</xdr:row>
      <xdr:rowOff>166688</xdr:rowOff>
    </xdr:to>
    <xdr:graphicFrame macro="">
      <xdr:nvGraphicFramePr>
        <xdr:cNvPr id="4" name="Chart 3">
          <a:extLst>
            <a:ext uri="{FF2B5EF4-FFF2-40B4-BE49-F238E27FC236}">
              <a16:creationId xmlns:a16="http://schemas.microsoft.com/office/drawing/2014/main" id="{C32BFFB5-F9B1-9104-1BA1-098B08752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192882</xdr:colOff>
      <xdr:row>31</xdr:row>
      <xdr:rowOff>109538</xdr:rowOff>
    </xdr:from>
    <xdr:to>
      <xdr:col>7</xdr:col>
      <xdr:colOff>216865</xdr:colOff>
      <xdr:row>44</xdr:row>
      <xdr:rowOff>0</xdr:rowOff>
    </xdr:to>
    <xdr:graphicFrame macro="">
      <xdr:nvGraphicFramePr>
        <xdr:cNvPr id="5" name="Chart 4">
          <a:extLst>
            <a:ext uri="{FF2B5EF4-FFF2-40B4-BE49-F238E27FC236}">
              <a16:creationId xmlns:a16="http://schemas.microsoft.com/office/drawing/2014/main" id="{1AF2C17B-39F7-F94C-794D-EEB647866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833437</xdr:colOff>
      <xdr:row>57</xdr:row>
      <xdr:rowOff>133350</xdr:rowOff>
    </xdr:from>
    <xdr:to>
      <xdr:col>6</xdr:col>
      <xdr:colOff>1700213</xdr:colOff>
      <xdr:row>77</xdr:row>
      <xdr:rowOff>34017</xdr:rowOff>
    </xdr:to>
    <xdr:graphicFrame macro="">
      <xdr:nvGraphicFramePr>
        <xdr:cNvPr id="6" name="Chart 5">
          <a:extLst>
            <a:ext uri="{FF2B5EF4-FFF2-40B4-BE49-F238E27FC236}">
              <a16:creationId xmlns:a16="http://schemas.microsoft.com/office/drawing/2014/main" id="{4BD42E19-55BE-F8C8-F298-8DEF84D50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607644</xdr:colOff>
      <xdr:row>90</xdr:row>
      <xdr:rowOff>106051</xdr:rowOff>
    </xdr:from>
    <xdr:to>
      <xdr:col>5</xdr:col>
      <xdr:colOff>1603091</xdr:colOff>
      <xdr:row>104</xdr:row>
      <xdr:rowOff>72288</xdr:rowOff>
    </xdr:to>
    <xdr:graphicFrame macro="">
      <xdr:nvGraphicFramePr>
        <xdr:cNvPr id="7" name="Chart 6">
          <a:extLst>
            <a:ext uri="{FF2B5EF4-FFF2-40B4-BE49-F238E27FC236}">
              <a16:creationId xmlns:a16="http://schemas.microsoft.com/office/drawing/2014/main" id="{27A6924F-EA66-E106-F629-D310FDE5F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122889</xdr:colOff>
      <xdr:row>112</xdr:row>
      <xdr:rowOff>89041</xdr:rowOff>
    </xdr:from>
    <xdr:to>
      <xdr:col>8</xdr:col>
      <xdr:colOff>8503</xdr:colOff>
      <xdr:row>128</xdr:row>
      <xdr:rowOff>85045</xdr:rowOff>
    </xdr:to>
    <xdr:graphicFrame macro="">
      <xdr:nvGraphicFramePr>
        <xdr:cNvPr id="8" name="Chart 7">
          <a:extLst>
            <a:ext uri="{FF2B5EF4-FFF2-40B4-BE49-F238E27FC236}">
              <a16:creationId xmlns:a16="http://schemas.microsoft.com/office/drawing/2014/main" id="{4C1702D1-5E6C-EB37-0961-A5D06C7B6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309561</xdr:colOff>
      <xdr:row>5</xdr:row>
      <xdr:rowOff>71438</xdr:rowOff>
    </xdr:from>
    <xdr:to>
      <xdr:col>10</xdr:col>
      <xdr:colOff>423862</xdr:colOff>
      <xdr:row>20</xdr:row>
      <xdr:rowOff>14288</xdr:rowOff>
    </xdr:to>
    <xdr:graphicFrame macro="">
      <xdr:nvGraphicFramePr>
        <xdr:cNvPr id="7" name="Chart 6">
          <a:extLst>
            <a:ext uri="{FF2B5EF4-FFF2-40B4-BE49-F238E27FC236}">
              <a16:creationId xmlns:a16="http://schemas.microsoft.com/office/drawing/2014/main" id="{757EF60A-5BF4-4F8D-9836-ACEE85CC3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476249</xdr:colOff>
      <xdr:row>5</xdr:row>
      <xdr:rowOff>66675</xdr:rowOff>
    </xdr:from>
    <xdr:to>
      <xdr:col>19</xdr:col>
      <xdr:colOff>676275</xdr:colOff>
      <xdr:row>20</xdr:row>
      <xdr:rowOff>19051</xdr:rowOff>
    </xdr:to>
    <xdr:graphicFrame macro="">
      <xdr:nvGraphicFramePr>
        <xdr:cNvPr id="9" name="Chart 8">
          <a:extLst>
            <a:ext uri="{FF2B5EF4-FFF2-40B4-BE49-F238E27FC236}">
              <a16:creationId xmlns:a16="http://schemas.microsoft.com/office/drawing/2014/main" id="{72D21EB0-785D-41ED-B886-7BF568056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300038</xdr:colOff>
      <xdr:row>20</xdr:row>
      <xdr:rowOff>66674</xdr:rowOff>
    </xdr:from>
    <xdr:to>
      <xdr:col>10</xdr:col>
      <xdr:colOff>419100</xdr:colOff>
      <xdr:row>35</xdr:row>
      <xdr:rowOff>100013</xdr:rowOff>
    </xdr:to>
    <xdr:graphicFrame macro="">
      <xdr:nvGraphicFramePr>
        <xdr:cNvPr id="11" name="Chart 10">
          <a:extLst>
            <a:ext uri="{FF2B5EF4-FFF2-40B4-BE49-F238E27FC236}">
              <a16:creationId xmlns:a16="http://schemas.microsoft.com/office/drawing/2014/main" id="{B6542DB4-5DDA-49DF-BFAD-87607E914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297939</xdr:colOff>
      <xdr:row>36</xdr:row>
      <xdr:rowOff>21647</xdr:rowOff>
    </xdr:from>
    <xdr:to>
      <xdr:col>20</xdr:col>
      <xdr:colOff>59814</xdr:colOff>
      <xdr:row>50</xdr:row>
      <xdr:rowOff>172456</xdr:rowOff>
    </xdr:to>
    <xdr:graphicFrame macro="">
      <xdr:nvGraphicFramePr>
        <xdr:cNvPr id="13" name="Chart 12">
          <a:extLst>
            <a:ext uri="{FF2B5EF4-FFF2-40B4-BE49-F238E27FC236}">
              <a16:creationId xmlns:a16="http://schemas.microsoft.com/office/drawing/2014/main" id="{623162B3-C371-4E0C-89B1-734CBE2D2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466724</xdr:colOff>
      <xdr:row>20</xdr:row>
      <xdr:rowOff>80962</xdr:rowOff>
    </xdr:from>
    <xdr:to>
      <xdr:col>20</xdr:col>
      <xdr:colOff>57150</xdr:colOff>
      <xdr:row>35</xdr:row>
      <xdr:rowOff>80962</xdr:rowOff>
    </xdr:to>
    <xdr:graphicFrame macro="">
      <xdr:nvGraphicFramePr>
        <xdr:cNvPr id="15" name="Chart 14">
          <a:extLst>
            <a:ext uri="{FF2B5EF4-FFF2-40B4-BE49-F238E27FC236}">
              <a16:creationId xmlns:a16="http://schemas.microsoft.com/office/drawing/2014/main" id="{53BD879A-853B-42E6-8FB7-63EF42FA4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288444</xdr:colOff>
      <xdr:row>51</xdr:row>
      <xdr:rowOff>48595</xdr:rowOff>
    </xdr:from>
    <xdr:to>
      <xdr:col>20</xdr:col>
      <xdr:colOff>77754</xdr:colOff>
      <xdr:row>70</xdr:row>
      <xdr:rowOff>126353</xdr:rowOff>
    </xdr:to>
    <xdr:graphicFrame macro="">
      <xdr:nvGraphicFramePr>
        <xdr:cNvPr id="17" name="Chart 16">
          <a:extLst>
            <a:ext uri="{FF2B5EF4-FFF2-40B4-BE49-F238E27FC236}">
              <a16:creationId xmlns:a16="http://schemas.microsoft.com/office/drawing/2014/main" id="{924D8FA9-828B-4AD4-91EC-C799FE98F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176213</xdr:colOff>
      <xdr:row>5</xdr:row>
      <xdr:rowOff>123826</xdr:rowOff>
    </xdr:from>
    <xdr:to>
      <xdr:col>3</xdr:col>
      <xdr:colOff>61913</xdr:colOff>
      <xdr:row>12</xdr:row>
      <xdr:rowOff>52389</xdr:rowOff>
    </xdr:to>
    <mc:AlternateContent xmlns:mc="http://schemas.openxmlformats.org/markup-compatibility/2006">
      <mc:Choice xmlns:a14="http://schemas.microsoft.com/office/drawing/2010/main" Requires="a14">
        <xdr:graphicFrame macro="">
          <xdr:nvGraphicFramePr>
            <xdr:cNvPr id="18" name="Age Range">
              <a:extLst>
                <a:ext uri="{FF2B5EF4-FFF2-40B4-BE49-F238E27FC236}">
                  <a16:creationId xmlns:a16="http://schemas.microsoft.com/office/drawing/2014/main" id="{C4BBA71C-EC21-7511-0EEF-E318075278E0}"/>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dr:sp macro="" textlink="">
          <xdr:nvSpPr>
            <xdr:cNvPr id="0" name=""/>
            <xdr:cNvSpPr>
              <a:spLocks noTextEdit="1"/>
            </xdr:cNvSpPr>
          </xdr:nvSpPr>
          <xdr:spPr>
            <a:xfrm>
              <a:off x="176213" y="1231509"/>
              <a:ext cx="1828158" cy="12021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12</xdr:row>
      <xdr:rowOff>95250</xdr:rowOff>
    </xdr:from>
    <xdr:to>
      <xdr:col>3</xdr:col>
      <xdr:colOff>66675</xdr:colOff>
      <xdr:row>17</xdr:row>
      <xdr:rowOff>152400</xdr:rowOff>
    </xdr:to>
    <mc:AlternateContent xmlns:mc="http://schemas.openxmlformats.org/markup-compatibility/2006">
      <mc:Choice xmlns:a14="http://schemas.microsoft.com/office/drawing/2010/main" Requires="a14">
        <xdr:graphicFrame macro="">
          <xdr:nvGraphicFramePr>
            <xdr:cNvPr id="19" name="Sex">
              <a:extLst>
                <a:ext uri="{FF2B5EF4-FFF2-40B4-BE49-F238E27FC236}">
                  <a16:creationId xmlns:a16="http://schemas.microsoft.com/office/drawing/2014/main" id="{039B5DE7-19D4-DD08-2008-93015E4CF848}"/>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80975" y="2476501"/>
              <a:ext cx="1828158" cy="9668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181169</xdr:colOff>
      <xdr:row>37</xdr:row>
      <xdr:rowOff>171451</xdr:rowOff>
    </xdr:from>
    <xdr:to>
      <xdr:col>3</xdr:col>
      <xdr:colOff>66869</xdr:colOff>
      <xdr:row>44</xdr:row>
      <xdr:rowOff>157164</xdr:rowOff>
    </xdr:to>
    <mc:AlternateContent xmlns:mc="http://schemas.openxmlformats.org/markup-compatibility/2006">
      <mc:Choice xmlns:a14="http://schemas.microsoft.com/office/drawing/2010/main" Requires="a14">
        <xdr:graphicFrame macro="">
          <xdr:nvGraphicFramePr>
            <xdr:cNvPr id="20" name="Residence">
              <a:extLst>
                <a:ext uri="{FF2B5EF4-FFF2-40B4-BE49-F238E27FC236}">
                  <a16:creationId xmlns:a16="http://schemas.microsoft.com/office/drawing/2014/main" id="{57552BCA-F785-16B8-0CE4-34C3E9F0CBBF}"/>
                </a:ext>
              </a:extLst>
            </xdr:cNvPr>
            <xdr:cNvGraphicFramePr/>
          </xdr:nvGraphicFramePr>
          <xdr:xfrm>
            <a:off x="0" y="0"/>
            <a:ext cx="0" cy="0"/>
          </xdr:xfrm>
          <a:graphic>
            <a:graphicData uri="http://schemas.microsoft.com/office/drawing/2010/slicer">
              <sle:slicer xmlns:sle="http://schemas.microsoft.com/office/drawing/2010/slicer" name="Residence"/>
            </a:graphicData>
          </a:graphic>
        </xdr:graphicFrame>
      </mc:Choice>
      <mc:Fallback>
        <xdr:sp macro="" textlink="">
          <xdr:nvSpPr>
            <xdr:cNvPr id="0" name=""/>
            <xdr:cNvSpPr>
              <a:spLocks noTextEdit="1"/>
            </xdr:cNvSpPr>
          </xdr:nvSpPr>
          <xdr:spPr>
            <a:xfrm>
              <a:off x="181169" y="7101157"/>
              <a:ext cx="1828158" cy="12592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17</xdr:row>
      <xdr:rowOff>138112</xdr:rowOff>
    </xdr:from>
    <xdr:to>
      <xdr:col>3</xdr:col>
      <xdr:colOff>57150</xdr:colOff>
      <xdr:row>37</xdr:row>
      <xdr:rowOff>68035</xdr:rowOff>
    </xdr:to>
    <mc:AlternateContent xmlns:mc="http://schemas.openxmlformats.org/markup-compatibility/2006">
      <mc:Choice xmlns:a14="http://schemas.microsoft.com/office/drawing/2010/main" Requires="a14">
        <xdr:graphicFrame macro="">
          <xdr:nvGraphicFramePr>
            <xdr:cNvPr id="21" name="Location">
              <a:extLst>
                <a:ext uri="{FF2B5EF4-FFF2-40B4-BE49-F238E27FC236}">
                  <a16:creationId xmlns:a16="http://schemas.microsoft.com/office/drawing/2014/main" id="{909B077D-B98D-C83F-5CD9-03A217D65D7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71450" y="3429054"/>
              <a:ext cx="1828158" cy="35686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180974</xdr:colOff>
      <xdr:row>45</xdr:row>
      <xdr:rowOff>82323</xdr:rowOff>
    </xdr:from>
    <xdr:to>
      <xdr:col>3</xdr:col>
      <xdr:colOff>66674</xdr:colOff>
      <xdr:row>50</xdr:row>
      <xdr:rowOff>177573</xdr:rowOff>
    </xdr:to>
    <mc:AlternateContent xmlns:mc="http://schemas.openxmlformats.org/markup-compatibility/2006">
      <mc:Choice xmlns:a14="http://schemas.microsoft.com/office/drawing/2010/main" Requires="a14">
        <xdr:graphicFrame macro="">
          <xdr:nvGraphicFramePr>
            <xdr:cNvPr id="22" name="Treatment">
              <a:extLst>
                <a:ext uri="{FF2B5EF4-FFF2-40B4-BE49-F238E27FC236}">
                  <a16:creationId xmlns:a16="http://schemas.microsoft.com/office/drawing/2014/main" id="{308DB75A-EF82-F8AB-FF4F-C71029ECE53E}"/>
                </a:ext>
              </a:extLst>
            </xdr:cNvPr>
            <xdr:cNvGraphicFramePr/>
          </xdr:nvGraphicFramePr>
          <xdr:xfrm>
            <a:off x="0" y="0"/>
            <a:ext cx="0" cy="0"/>
          </xdr:xfrm>
          <a:graphic>
            <a:graphicData uri="http://schemas.microsoft.com/office/drawing/2010/slicer">
              <sle:slicer xmlns:sle="http://schemas.microsoft.com/office/drawing/2010/slicer" name="Treatment"/>
            </a:graphicData>
          </a:graphic>
        </xdr:graphicFrame>
      </mc:Choice>
      <mc:Fallback>
        <xdr:sp macro="" textlink="">
          <xdr:nvSpPr>
            <xdr:cNvPr id="0" name=""/>
            <xdr:cNvSpPr>
              <a:spLocks noTextEdit="1"/>
            </xdr:cNvSpPr>
          </xdr:nvSpPr>
          <xdr:spPr>
            <a:xfrm>
              <a:off x="180974" y="8467534"/>
              <a:ext cx="1828158" cy="1004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a Pacia" refreshedDate="46117.602810069446" createdVersion="8" refreshedVersion="8" minRefreshableVersion="3" recordCount="100" xr:uid="{1200E6A1-11AA-44A0-A043-C04A998DDF1B}">
  <cacheSource type="worksheet">
    <worksheetSource ref="B1:W101" sheet="Dataset Hypertension UK"/>
  </cacheSource>
  <cacheFields count="22">
    <cacheField name="Age" numFmtId="0">
      <sharedItems containsSemiMixedTypes="0" containsString="0" containsNumber="1" containsInteger="1" minValue="24" maxValue="82"/>
    </cacheField>
    <cacheField name="Sex" numFmtId="0">
      <sharedItems count="2">
        <s v="Female"/>
        <s v="Male"/>
      </sharedItems>
    </cacheField>
    <cacheField name="Education" numFmtId="0">
      <sharedItems/>
    </cacheField>
    <cacheField name="Occupation" numFmtId="0">
      <sharedItems/>
    </cacheField>
    <cacheField name="Monthly Income" numFmtId="0">
      <sharedItems/>
    </cacheField>
    <cacheField name="Residence" numFmtId="0">
      <sharedItems/>
    </cacheField>
    <cacheField name="Location" numFmtId="0">
      <sharedItems count="51">
        <s v="Coventry"/>
        <s v="Appleby-in-Westmorland"/>
        <s v="Hexham"/>
        <s v="Builth Wells"/>
        <s v="Sheffield"/>
        <s v="Hay-on-Wye"/>
        <s v="London"/>
        <s v="Chelmsford"/>
        <s v="Peterborough"/>
        <s v="Swindon"/>
        <s v="Ipswich"/>
        <s v="Glasgow"/>
        <s v="Bradford"/>
        <s v="Belfast"/>
        <s v="Liverpool"/>
        <s v="Alston"/>
        <s v="Settle"/>
        <s v="Woking"/>
        <s v="Tongue"/>
        <s v="Bristol"/>
        <s v="Wells"/>
        <s v="Machynlleth"/>
        <s v="Helmsdale"/>
        <s v="Llandrindod Wells"/>
        <s v="Dolgellau"/>
        <s v="Cardiff"/>
        <s v="Harrogate"/>
        <s v="Wolverhampton"/>
        <s v="Nottingham"/>
        <s v="Solihull"/>
        <s v="Southampton"/>
        <s v="Northampton"/>
        <s v="Stockport"/>
        <s v="Derby"/>
        <s v="Inveraray"/>
        <s v="Birmingham"/>
        <s v="Wakefield"/>
        <s v="Aberaeron"/>
        <s v="Kirkby Stephen"/>
        <s v="Crawley"/>
        <s v="Sutton Coldfield"/>
        <s v="Leeds"/>
        <s v="Hawes"/>
        <s v="Alnwick"/>
        <s v="Dornoch"/>
        <s v="Portsmouth"/>
        <s v="Guildford"/>
        <s v="Durness"/>
        <s v="Ludlow"/>
        <s v="Basildon"/>
        <s v="Manchester"/>
      </sharedItems>
    </cacheField>
    <cacheField name="Systolic BP" numFmtId="0">
      <sharedItems containsSemiMixedTypes="0" containsString="0" containsNumber="1" containsInteger="1" minValue="108" maxValue="178"/>
    </cacheField>
    <cacheField name="Diastolic BP" numFmtId="0">
      <sharedItems containsSemiMixedTypes="0" containsString="0" containsNumber="1" containsInteger="1" minValue="62" maxValue="109"/>
    </cacheField>
    <cacheField name="Elevated Creatinine" numFmtId="0">
      <sharedItems count="2">
        <s v="No"/>
        <s v="Yes"/>
      </sharedItems>
    </cacheField>
    <cacheField name="Diabetes Mellitus" numFmtId="0">
      <sharedItems count="2">
        <s v="No"/>
        <s v="Yes"/>
      </sharedItems>
    </cacheField>
    <cacheField name="Family History of CVD" numFmtId="0">
      <sharedItems count="2">
        <s v="Yes"/>
        <s v="No"/>
      </sharedItems>
    </cacheField>
    <cacheField name="Elevated Cholesterol" numFmtId="0">
      <sharedItems count="2">
        <s v="No"/>
        <s v="Yes"/>
      </sharedItems>
    </cacheField>
    <cacheField name="Smoking" numFmtId="0">
      <sharedItems count="2">
        <s v="No"/>
        <s v="Yes"/>
      </sharedItems>
    </cacheField>
    <cacheField name="LVH" numFmtId="0">
      <sharedItems count="2">
        <s v="No"/>
        <s v="Yes"/>
      </sharedItems>
    </cacheField>
    <cacheField name="IHD" numFmtId="0">
      <sharedItems count="2">
        <s v="No"/>
        <s v="Yes"/>
      </sharedItems>
    </cacheField>
    <cacheField name="CVD" numFmtId="0">
      <sharedItems count="2">
        <s v="No"/>
        <s v="Yes"/>
      </sharedItems>
    </cacheField>
    <cacheField name="Retinopathy" numFmtId="0">
      <sharedItems count="2">
        <s v="No"/>
        <s v="Yes"/>
      </sharedItems>
    </cacheField>
    <cacheField name="Treatment" numFmtId="0">
      <sharedItems/>
    </cacheField>
    <cacheField name="Control Status" numFmtId="0">
      <sharedItems/>
    </cacheField>
    <cacheField name="Physical Activity" numFmtId="0">
      <sharedItems/>
    </cacheField>
    <cacheField name="Dietary Habit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a Pacia" refreshedDate="46117.602810532408" createdVersion="8" refreshedVersion="8" minRefreshableVersion="3" recordCount="100" xr:uid="{F0D0AC59-A814-43C6-BE28-E0D8AA4506AE}">
  <cacheSource type="worksheet">
    <worksheetSource ref="A1:W101" sheet="Dataset Hypertension UK"/>
  </cacheSource>
  <cacheFields count="23">
    <cacheField name="Age Range" numFmtId="0">
      <sharedItems count="3">
        <s v="18-29"/>
        <s v="30-44"/>
        <s v="45-55+"/>
      </sharedItems>
    </cacheField>
    <cacheField name="Age" numFmtId="0">
      <sharedItems containsSemiMixedTypes="0" containsString="0" containsNumber="1" containsInteger="1" minValue="24" maxValue="82"/>
    </cacheField>
    <cacheField name="Sex" numFmtId="0">
      <sharedItems count="2">
        <s v="Female"/>
        <s v="Male"/>
      </sharedItems>
    </cacheField>
    <cacheField name="Education" numFmtId="0">
      <sharedItems/>
    </cacheField>
    <cacheField name="Occupation" numFmtId="0">
      <sharedItems/>
    </cacheField>
    <cacheField name="Monthly Income" numFmtId="0">
      <sharedItems/>
    </cacheField>
    <cacheField name="Residence" numFmtId="0">
      <sharedItems count="3">
        <s v="Urban"/>
        <s v="Rural"/>
        <s v="Suburban"/>
      </sharedItems>
    </cacheField>
    <cacheField name="Location" numFmtId="0">
      <sharedItems count="51">
        <s v="Coventry"/>
        <s v="Appleby-in-Westmorland"/>
        <s v="Hexham"/>
        <s v="Builth Wells"/>
        <s v="Sheffield"/>
        <s v="Hay-on-Wye"/>
        <s v="London"/>
        <s v="Chelmsford"/>
        <s v="Peterborough"/>
        <s v="Swindon"/>
        <s v="Ipswich"/>
        <s v="Glasgow"/>
        <s v="Bradford"/>
        <s v="Belfast"/>
        <s v="Liverpool"/>
        <s v="Alston"/>
        <s v="Settle"/>
        <s v="Woking"/>
        <s v="Tongue"/>
        <s v="Bristol"/>
        <s v="Wells"/>
        <s v="Machynlleth"/>
        <s v="Helmsdale"/>
        <s v="Llandrindod Wells"/>
        <s v="Dolgellau"/>
        <s v="Cardiff"/>
        <s v="Harrogate"/>
        <s v="Wolverhampton"/>
        <s v="Nottingham"/>
        <s v="Solihull"/>
        <s v="Southampton"/>
        <s v="Northampton"/>
        <s v="Stockport"/>
        <s v="Derby"/>
        <s v="Inveraray"/>
        <s v="Birmingham"/>
        <s v="Wakefield"/>
        <s v="Aberaeron"/>
        <s v="Kirkby Stephen"/>
        <s v="Crawley"/>
        <s v="Sutton Coldfield"/>
        <s v="Leeds"/>
        <s v="Hawes"/>
        <s v="Alnwick"/>
        <s v="Dornoch"/>
        <s v="Portsmouth"/>
        <s v="Guildford"/>
        <s v="Durness"/>
        <s v="Ludlow"/>
        <s v="Basildon"/>
        <s v="Manchester"/>
      </sharedItems>
    </cacheField>
    <cacheField name="Systolic BP" numFmtId="0">
      <sharedItems containsSemiMixedTypes="0" containsString="0" containsNumber="1" containsInteger="1" minValue="108" maxValue="178" count="48">
        <n v="160"/>
        <n v="132"/>
        <n v="170"/>
        <n v="133"/>
        <n v="129"/>
        <n v="138"/>
        <n v="145"/>
        <n v="136"/>
        <n v="130"/>
        <n v="148"/>
        <n v="164"/>
        <n v="159"/>
        <n v="113"/>
        <n v="155"/>
        <n v="152"/>
        <n v="149"/>
        <n v="119"/>
        <n v="156"/>
        <n v="143"/>
        <n v="150"/>
        <n v="146"/>
        <n v="154"/>
        <n v="158"/>
        <n v="120"/>
        <n v="135"/>
        <n v="139"/>
        <n v="162"/>
        <n v="144"/>
        <n v="165"/>
        <n v="117"/>
        <n v="140"/>
        <n v="123"/>
        <n v="137"/>
        <n v="127"/>
        <n v="141"/>
        <n v="161"/>
        <n v="116"/>
        <n v="178"/>
        <n v="131"/>
        <n v="163"/>
        <n v="108"/>
        <n v="153"/>
        <n v="174"/>
        <n v="124"/>
        <n v="121"/>
        <n v="142"/>
        <n v="167"/>
        <n v="122"/>
      </sharedItems>
    </cacheField>
    <cacheField name="Diastolic BP" numFmtId="0">
      <sharedItems containsSemiMixedTypes="0" containsString="0" containsNumber="1" containsInteger="1" minValue="62" maxValue="109" count="36">
        <n v="89"/>
        <n v="62"/>
        <n v="91"/>
        <n v="96"/>
        <n v="72"/>
        <n v="83"/>
        <n v="105"/>
        <n v="99"/>
        <n v="90"/>
        <n v="84"/>
        <n v="103"/>
        <n v="79"/>
        <n v="68"/>
        <n v="86"/>
        <n v="74"/>
        <n v="94"/>
        <n v="85"/>
        <n v="77"/>
        <n v="97"/>
        <n v="87"/>
        <n v="108"/>
        <n v="82"/>
        <n v="109"/>
        <n v="93"/>
        <n v="102"/>
        <n v="92"/>
        <n v="100"/>
        <n v="76"/>
        <n v="95"/>
        <n v="98"/>
        <n v="81"/>
        <n v="75"/>
        <n v="107"/>
        <n v="80"/>
        <n v="88"/>
        <n v="78"/>
      </sharedItems>
    </cacheField>
    <cacheField name="Elevated Creatinine" numFmtId="0">
      <sharedItems/>
    </cacheField>
    <cacheField name="Diabetes Mellitus" numFmtId="0">
      <sharedItems count="2">
        <s v="No"/>
        <s v="Yes"/>
      </sharedItems>
    </cacheField>
    <cacheField name="Family History of CVD" numFmtId="0">
      <sharedItems/>
    </cacheField>
    <cacheField name="Elevated Cholesterol" numFmtId="0">
      <sharedItems/>
    </cacheField>
    <cacheField name="Smoking" numFmtId="0">
      <sharedItems count="2">
        <s v="No"/>
        <s v="Yes"/>
      </sharedItems>
    </cacheField>
    <cacheField name="LVH" numFmtId="0">
      <sharedItems/>
    </cacheField>
    <cacheField name="IHD" numFmtId="0">
      <sharedItems/>
    </cacheField>
    <cacheField name="CVD" numFmtId="0">
      <sharedItems count="2">
        <s v="No"/>
        <s v="Yes"/>
      </sharedItems>
    </cacheField>
    <cacheField name="Retinopathy" numFmtId="0">
      <sharedItems/>
    </cacheField>
    <cacheField name="Treatment" numFmtId="0">
      <sharedItems count="2">
        <s v="Single Drug"/>
        <s v="Combination Drugs"/>
      </sharedItems>
    </cacheField>
    <cacheField name="Control Status" numFmtId="0">
      <sharedItems count="2">
        <s v="Uncontrolled"/>
        <s v="Controlled"/>
      </sharedItems>
    </cacheField>
    <cacheField name="Physical Activity" numFmtId="0">
      <sharedItems count="2">
        <s v="Yes"/>
        <s v="No"/>
      </sharedItems>
    </cacheField>
    <cacheField name="Dietary Habits" numFmtId="0">
      <sharedItems count="2">
        <s v="Healthy"/>
        <s v="Unhealthy"/>
      </sharedItems>
    </cacheField>
  </cacheFields>
  <extLst>
    <ext xmlns:x14="http://schemas.microsoft.com/office/spreadsheetml/2009/9/main" uri="{725AE2AE-9491-48be-B2B4-4EB974FC3084}">
      <x14:pivotCacheDefinition pivotCacheId="1518494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24"/>
    <x v="0"/>
    <s v="Secondary school (GCSE)"/>
    <s v="Homemaker"/>
    <s v="Under £20,000"/>
    <s v="Urban"/>
    <x v="0"/>
    <n v="160"/>
    <n v="89"/>
    <x v="0"/>
    <x v="0"/>
    <x v="0"/>
    <x v="0"/>
    <x v="0"/>
    <x v="0"/>
    <x v="0"/>
    <x v="0"/>
    <x v="0"/>
    <s v="Single Drug"/>
    <s v="Uncontrolled"/>
    <s v="Yes"/>
    <s v="Healthy"/>
  </r>
  <r>
    <n v="26"/>
    <x v="1"/>
    <s v="Secondary school (GCSE)"/>
    <s v="Employed (services)"/>
    <s v="Under £20,000"/>
    <s v="Rural"/>
    <x v="1"/>
    <n v="132"/>
    <n v="62"/>
    <x v="0"/>
    <x v="0"/>
    <x v="1"/>
    <x v="0"/>
    <x v="0"/>
    <x v="0"/>
    <x v="0"/>
    <x v="1"/>
    <x v="0"/>
    <s v="Combination Drugs"/>
    <s v="Controlled"/>
    <s v="No"/>
    <s v="Healthy"/>
  </r>
  <r>
    <n v="27"/>
    <x v="1"/>
    <s v="Primary school"/>
    <s v="Homemaker"/>
    <s v="£20,001–£35,000"/>
    <s v="Rural"/>
    <x v="2"/>
    <n v="170"/>
    <n v="91"/>
    <x v="0"/>
    <x v="0"/>
    <x v="0"/>
    <x v="1"/>
    <x v="1"/>
    <x v="0"/>
    <x v="0"/>
    <x v="0"/>
    <x v="0"/>
    <s v="Combination Drugs"/>
    <s v="Uncontrolled"/>
    <s v="No"/>
    <s v="Healthy"/>
  </r>
  <r>
    <n v="29"/>
    <x v="0"/>
    <s v="No formal education"/>
    <s v="Self-employed"/>
    <s v="Under £20,000"/>
    <s v="Rural"/>
    <x v="3"/>
    <n v="133"/>
    <n v="96"/>
    <x v="0"/>
    <x v="1"/>
    <x v="1"/>
    <x v="0"/>
    <x v="0"/>
    <x v="0"/>
    <x v="0"/>
    <x v="0"/>
    <x v="0"/>
    <s v="Combination Drugs"/>
    <s v="Controlled"/>
    <s v="No"/>
    <s v="Unhealthy"/>
  </r>
  <r>
    <n v="29"/>
    <x v="1"/>
    <s v="Sixth form / A-levels"/>
    <s v="Homemaker"/>
    <s v="£20,001–£35,000"/>
    <s v="Urban"/>
    <x v="4"/>
    <n v="129"/>
    <n v="72"/>
    <x v="0"/>
    <x v="0"/>
    <x v="0"/>
    <x v="0"/>
    <x v="0"/>
    <x v="0"/>
    <x v="0"/>
    <x v="0"/>
    <x v="0"/>
    <s v="Combination Drugs"/>
    <s v="Uncontrolled"/>
    <s v="Yes"/>
    <s v="Healthy"/>
  </r>
  <r>
    <n v="30"/>
    <x v="0"/>
    <s v="Postgraduate degree"/>
    <s v="Homemaker"/>
    <s v="£20,001–£35,000"/>
    <s v="Rural"/>
    <x v="5"/>
    <n v="138"/>
    <n v="83"/>
    <x v="0"/>
    <x v="0"/>
    <x v="0"/>
    <x v="0"/>
    <x v="0"/>
    <x v="0"/>
    <x v="0"/>
    <x v="0"/>
    <x v="0"/>
    <s v="Combination Drugs"/>
    <s v="Uncontrolled"/>
    <s v="No"/>
    <s v="Unhealthy"/>
  </r>
  <r>
    <n v="30"/>
    <x v="0"/>
    <s v="Sixth form / A-levels"/>
    <s v="Manual / Trade worker"/>
    <s v="Under £20,000"/>
    <s v="Urban"/>
    <x v="6"/>
    <n v="145"/>
    <n v="105"/>
    <x v="0"/>
    <x v="0"/>
    <x v="0"/>
    <x v="0"/>
    <x v="0"/>
    <x v="0"/>
    <x v="0"/>
    <x v="0"/>
    <x v="0"/>
    <s v="Single Drug"/>
    <s v="Uncontrolled"/>
    <s v="Yes"/>
    <s v="Unhealthy"/>
  </r>
  <r>
    <n v="30"/>
    <x v="0"/>
    <s v="Primary school"/>
    <s v="Homemaker"/>
    <s v="Over £50,000"/>
    <s v="Suburban"/>
    <x v="7"/>
    <n v="136"/>
    <n v="99"/>
    <x v="0"/>
    <x v="0"/>
    <x v="1"/>
    <x v="0"/>
    <x v="0"/>
    <x v="0"/>
    <x v="0"/>
    <x v="0"/>
    <x v="0"/>
    <s v="Combination Drugs"/>
    <s v="Uncontrolled"/>
    <s v="Yes"/>
    <s v="Unhealthy"/>
  </r>
  <r>
    <n v="34"/>
    <x v="0"/>
    <s v="Sixth form / A-levels"/>
    <s v="Self-employed"/>
    <s v="£20,001–£35,000"/>
    <s v="Suburban"/>
    <x v="8"/>
    <n v="130"/>
    <n v="90"/>
    <x v="0"/>
    <x v="0"/>
    <x v="0"/>
    <x v="0"/>
    <x v="0"/>
    <x v="0"/>
    <x v="1"/>
    <x v="0"/>
    <x v="0"/>
    <s v="Combination Drugs"/>
    <s v="Uncontrolled"/>
    <s v="Yes"/>
    <s v="Healthy"/>
  </r>
  <r>
    <n v="35"/>
    <x v="1"/>
    <s v="Primary school"/>
    <s v="Retired"/>
    <s v="£35,001–£50,000"/>
    <s v="Suburban"/>
    <x v="9"/>
    <n v="148"/>
    <n v="84"/>
    <x v="0"/>
    <x v="0"/>
    <x v="0"/>
    <x v="0"/>
    <x v="0"/>
    <x v="0"/>
    <x v="0"/>
    <x v="0"/>
    <x v="0"/>
    <s v="Single Drug"/>
    <s v="Controlled"/>
    <s v="Yes"/>
    <s v="Unhealthy"/>
  </r>
  <r>
    <n v="35"/>
    <x v="1"/>
    <s v="Vocational / NVQ"/>
    <s v="Homemaker"/>
    <s v="£20,001–£35,000"/>
    <s v="Suburban"/>
    <x v="10"/>
    <n v="164"/>
    <n v="103"/>
    <x v="0"/>
    <x v="0"/>
    <x v="0"/>
    <x v="0"/>
    <x v="0"/>
    <x v="0"/>
    <x v="0"/>
    <x v="0"/>
    <x v="0"/>
    <s v="Combination Drugs"/>
    <s v="Controlled"/>
    <s v="Yes"/>
    <s v="Healthy"/>
  </r>
  <r>
    <n v="35"/>
    <x v="1"/>
    <s v="Sixth form / A-levels"/>
    <s v="Manual / Trade worker"/>
    <s v="£20,001–£35,000"/>
    <s v="Suburban"/>
    <x v="7"/>
    <n v="159"/>
    <n v="79"/>
    <x v="0"/>
    <x v="0"/>
    <x v="0"/>
    <x v="0"/>
    <x v="0"/>
    <x v="0"/>
    <x v="0"/>
    <x v="0"/>
    <x v="0"/>
    <s v="Combination Drugs"/>
    <s v="Uncontrolled"/>
    <s v="Yes"/>
    <s v="Healthy"/>
  </r>
  <r>
    <n v="35"/>
    <x v="1"/>
    <s v="Bachelor's degree"/>
    <s v="Homemaker"/>
    <s v="Under £20,000"/>
    <s v="Urban"/>
    <x v="11"/>
    <n v="113"/>
    <n v="99"/>
    <x v="0"/>
    <x v="0"/>
    <x v="0"/>
    <x v="0"/>
    <x v="0"/>
    <x v="0"/>
    <x v="0"/>
    <x v="0"/>
    <x v="0"/>
    <s v="Combination Drugs"/>
    <s v="Uncontrolled"/>
    <s v="No"/>
    <s v="Healthy"/>
  </r>
  <r>
    <n v="35"/>
    <x v="0"/>
    <s v="Primary school"/>
    <s v="Homemaker"/>
    <s v="Under £20,000"/>
    <s v="Urban"/>
    <x v="12"/>
    <n v="155"/>
    <n v="68"/>
    <x v="0"/>
    <x v="0"/>
    <x v="1"/>
    <x v="1"/>
    <x v="0"/>
    <x v="0"/>
    <x v="0"/>
    <x v="0"/>
    <x v="0"/>
    <s v="Combination Drugs"/>
    <s v="Controlled"/>
    <s v="No"/>
    <s v="Healthy"/>
  </r>
  <r>
    <n v="35"/>
    <x v="1"/>
    <s v="Bachelor's degree"/>
    <s v="Self-employed"/>
    <s v="£20,001–£35,000"/>
    <s v="Urban"/>
    <x v="13"/>
    <n v="152"/>
    <n v="86"/>
    <x v="0"/>
    <x v="0"/>
    <x v="0"/>
    <x v="0"/>
    <x v="0"/>
    <x v="0"/>
    <x v="0"/>
    <x v="0"/>
    <x v="0"/>
    <s v="Combination Drugs"/>
    <s v="Uncontrolled"/>
    <s v="Yes"/>
    <s v="Unhealthy"/>
  </r>
  <r>
    <n v="36"/>
    <x v="1"/>
    <s v="Bachelor's degree"/>
    <s v="Employed (services)"/>
    <s v="£20,001–£35,000"/>
    <s v="Urban"/>
    <x v="14"/>
    <n v="138"/>
    <n v="89"/>
    <x v="0"/>
    <x v="0"/>
    <x v="0"/>
    <x v="0"/>
    <x v="0"/>
    <x v="0"/>
    <x v="0"/>
    <x v="0"/>
    <x v="0"/>
    <s v="Combination Drugs"/>
    <s v="Uncontrolled"/>
    <s v="Yes"/>
    <s v="Healthy"/>
  </r>
  <r>
    <n v="37"/>
    <x v="1"/>
    <s v="Sixth form / A-levels"/>
    <s v="Employed (services)"/>
    <s v="Under £20,000"/>
    <s v="Rural"/>
    <x v="15"/>
    <n v="149"/>
    <n v="86"/>
    <x v="1"/>
    <x v="0"/>
    <x v="0"/>
    <x v="0"/>
    <x v="0"/>
    <x v="0"/>
    <x v="1"/>
    <x v="0"/>
    <x v="0"/>
    <s v="Combination Drugs"/>
    <s v="Controlled"/>
    <s v="Yes"/>
    <s v="Unhealthy"/>
  </r>
  <r>
    <n v="37"/>
    <x v="0"/>
    <s v="Primary school"/>
    <s v="Employed (services)"/>
    <s v="Under £20,000"/>
    <s v="Rural"/>
    <x v="16"/>
    <n v="119"/>
    <n v="74"/>
    <x v="0"/>
    <x v="0"/>
    <x v="0"/>
    <x v="0"/>
    <x v="0"/>
    <x v="0"/>
    <x v="0"/>
    <x v="0"/>
    <x v="0"/>
    <s v="Combination Drugs"/>
    <s v="Uncontrolled"/>
    <s v="Yes"/>
    <s v="Unhealthy"/>
  </r>
  <r>
    <n v="37"/>
    <x v="0"/>
    <s v="Bachelor's degree"/>
    <s v="Manual / Trade worker"/>
    <s v="Under £20,000"/>
    <s v="Suburban"/>
    <x v="17"/>
    <n v="156"/>
    <n v="79"/>
    <x v="0"/>
    <x v="0"/>
    <x v="0"/>
    <x v="0"/>
    <x v="0"/>
    <x v="0"/>
    <x v="0"/>
    <x v="0"/>
    <x v="0"/>
    <s v="Single Drug"/>
    <s v="Uncontrolled"/>
    <s v="Yes"/>
    <s v="Healthy"/>
  </r>
  <r>
    <n v="38"/>
    <x v="0"/>
    <s v="Secondary school (GCSE)"/>
    <s v="Retired"/>
    <s v="Under £20,000"/>
    <s v="Rural"/>
    <x v="18"/>
    <n v="143"/>
    <n v="91"/>
    <x v="0"/>
    <x v="0"/>
    <x v="0"/>
    <x v="0"/>
    <x v="0"/>
    <x v="0"/>
    <x v="0"/>
    <x v="0"/>
    <x v="0"/>
    <s v="Combination Drugs"/>
    <s v="Uncontrolled"/>
    <s v="No"/>
    <s v="Unhealthy"/>
  </r>
  <r>
    <n v="38"/>
    <x v="0"/>
    <s v="Sixth form / A-levels"/>
    <s v="Homemaker"/>
    <s v="Under £20,000"/>
    <s v="Urban"/>
    <x v="19"/>
    <n v="130"/>
    <n v="89"/>
    <x v="0"/>
    <x v="0"/>
    <x v="0"/>
    <x v="0"/>
    <x v="0"/>
    <x v="0"/>
    <x v="0"/>
    <x v="0"/>
    <x v="0"/>
    <s v="Combination Drugs"/>
    <s v="Uncontrolled"/>
    <s v="Yes"/>
    <s v="Unhealthy"/>
  </r>
  <r>
    <n v="38"/>
    <x v="0"/>
    <s v="Secondary school (GCSE)"/>
    <s v="Homemaker"/>
    <s v="£20,001–£35,000"/>
    <s v="Rural"/>
    <x v="20"/>
    <n v="150"/>
    <n v="91"/>
    <x v="0"/>
    <x v="0"/>
    <x v="0"/>
    <x v="1"/>
    <x v="0"/>
    <x v="0"/>
    <x v="0"/>
    <x v="0"/>
    <x v="0"/>
    <s v="Combination Drugs"/>
    <s v="Controlled"/>
    <s v="Yes"/>
    <s v="Healthy"/>
  </r>
  <r>
    <n v="38"/>
    <x v="1"/>
    <s v="Secondary school (GCSE)"/>
    <s v="Retired"/>
    <s v="Over £50,000"/>
    <s v="Urban"/>
    <x v="13"/>
    <n v="148"/>
    <n v="74"/>
    <x v="0"/>
    <x v="0"/>
    <x v="0"/>
    <x v="0"/>
    <x v="0"/>
    <x v="0"/>
    <x v="1"/>
    <x v="1"/>
    <x v="0"/>
    <s v="Combination Drugs"/>
    <s v="Uncontrolled"/>
    <s v="No"/>
    <s v="Healthy"/>
  </r>
  <r>
    <n v="39"/>
    <x v="1"/>
    <s v="Primary school"/>
    <s v="Self-employed"/>
    <s v="£35,001–£50,000"/>
    <s v="Rural"/>
    <x v="21"/>
    <n v="146"/>
    <n v="94"/>
    <x v="0"/>
    <x v="0"/>
    <x v="0"/>
    <x v="0"/>
    <x v="0"/>
    <x v="0"/>
    <x v="1"/>
    <x v="0"/>
    <x v="0"/>
    <s v="Single Drug"/>
    <s v="Controlled"/>
    <s v="Yes"/>
    <s v="Healthy"/>
  </r>
  <r>
    <n v="39"/>
    <x v="0"/>
    <s v="Bachelor's degree"/>
    <s v="Homemaker"/>
    <s v="£20,001–£35,000"/>
    <s v="Rural"/>
    <x v="22"/>
    <n v="133"/>
    <n v="86"/>
    <x v="1"/>
    <x v="0"/>
    <x v="0"/>
    <x v="0"/>
    <x v="0"/>
    <x v="0"/>
    <x v="0"/>
    <x v="0"/>
    <x v="0"/>
    <s v="Combination Drugs"/>
    <s v="Uncontrolled"/>
    <s v="Yes"/>
    <s v="Healthy"/>
  </r>
  <r>
    <n v="39"/>
    <x v="1"/>
    <s v="No formal education"/>
    <s v="Self-employed"/>
    <s v="£35,001–£50,000"/>
    <s v="Urban"/>
    <x v="14"/>
    <n v="154"/>
    <n v="85"/>
    <x v="0"/>
    <x v="0"/>
    <x v="1"/>
    <x v="0"/>
    <x v="0"/>
    <x v="0"/>
    <x v="1"/>
    <x v="0"/>
    <x v="0"/>
    <s v="Combination Drugs"/>
    <s v="Uncontrolled"/>
    <s v="No"/>
    <s v="Unhealthy"/>
  </r>
  <r>
    <n v="39"/>
    <x v="0"/>
    <s v="Primary school"/>
    <s v="Employed (services)"/>
    <s v="£20,001–£35,000"/>
    <s v="Rural"/>
    <x v="23"/>
    <n v="158"/>
    <n v="77"/>
    <x v="0"/>
    <x v="0"/>
    <x v="1"/>
    <x v="0"/>
    <x v="0"/>
    <x v="0"/>
    <x v="0"/>
    <x v="0"/>
    <x v="0"/>
    <s v="Single Drug"/>
    <s v="Uncontrolled"/>
    <s v="No"/>
    <s v="Unhealthy"/>
  </r>
  <r>
    <n v="40"/>
    <x v="0"/>
    <s v="Bachelor's degree"/>
    <s v="Self-employed"/>
    <s v="£20,001–£35,000"/>
    <s v="Urban"/>
    <x v="12"/>
    <n v="133"/>
    <n v="86"/>
    <x v="0"/>
    <x v="0"/>
    <x v="0"/>
    <x v="0"/>
    <x v="0"/>
    <x v="0"/>
    <x v="0"/>
    <x v="0"/>
    <x v="0"/>
    <s v="Combination Drugs"/>
    <s v="Uncontrolled"/>
    <s v="Yes"/>
    <s v="Unhealthy"/>
  </r>
  <r>
    <n v="40"/>
    <x v="0"/>
    <s v="Postgraduate degree"/>
    <s v="Homemaker"/>
    <s v="Under £20,000"/>
    <s v="Rural"/>
    <x v="24"/>
    <n v="164"/>
    <n v="85"/>
    <x v="0"/>
    <x v="0"/>
    <x v="1"/>
    <x v="0"/>
    <x v="0"/>
    <x v="0"/>
    <x v="0"/>
    <x v="0"/>
    <x v="0"/>
    <s v="Single Drug"/>
    <s v="Uncontrolled"/>
    <s v="Yes"/>
    <s v="Unhealthy"/>
  </r>
  <r>
    <n v="40"/>
    <x v="0"/>
    <s v="Primary school"/>
    <s v="Homemaker"/>
    <s v="£35,001–£50,000"/>
    <s v="Urban"/>
    <x v="25"/>
    <n v="120"/>
    <n v="86"/>
    <x v="0"/>
    <x v="0"/>
    <x v="0"/>
    <x v="0"/>
    <x v="0"/>
    <x v="0"/>
    <x v="1"/>
    <x v="0"/>
    <x v="0"/>
    <s v="Single Drug"/>
    <s v="Uncontrolled"/>
    <s v="Yes"/>
    <s v="Healthy"/>
  </r>
  <r>
    <n v="41"/>
    <x v="1"/>
    <s v="Bachelor's degree"/>
    <s v="Self-employed"/>
    <s v="Under £20,000"/>
    <s v="Suburban"/>
    <x v="26"/>
    <n v="135"/>
    <n v="97"/>
    <x v="0"/>
    <x v="0"/>
    <x v="0"/>
    <x v="0"/>
    <x v="0"/>
    <x v="0"/>
    <x v="0"/>
    <x v="0"/>
    <x v="0"/>
    <s v="Combination Drugs"/>
    <s v="Uncontrolled"/>
    <s v="Yes"/>
    <s v="Unhealthy"/>
  </r>
  <r>
    <n v="41"/>
    <x v="0"/>
    <s v="No formal education"/>
    <s v="Homemaker"/>
    <s v="£20,001–£35,000"/>
    <s v="Urban"/>
    <x v="27"/>
    <n v="132"/>
    <n v="87"/>
    <x v="1"/>
    <x v="0"/>
    <x v="0"/>
    <x v="0"/>
    <x v="1"/>
    <x v="0"/>
    <x v="1"/>
    <x v="0"/>
    <x v="0"/>
    <s v="Single Drug"/>
    <s v="Uncontrolled"/>
    <s v="Yes"/>
    <s v="Healthy"/>
  </r>
  <r>
    <n v="41"/>
    <x v="1"/>
    <s v="Secondary school (GCSE)"/>
    <s v="Employed (services)"/>
    <s v="£20,001–£35,000"/>
    <s v="Urban"/>
    <x v="28"/>
    <n v="139"/>
    <n v="87"/>
    <x v="0"/>
    <x v="0"/>
    <x v="1"/>
    <x v="0"/>
    <x v="0"/>
    <x v="0"/>
    <x v="1"/>
    <x v="0"/>
    <x v="0"/>
    <s v="Combination Drugs"/>
    <s v="Uncontrolled"/>
    <s v="Yes"/>
    <s v="Healthy"/>
  </r>
  <r>
    <n v="41"/>
    <x v="1"/>
    <s v="Secondary school (GCSE)"/>
    <s v="Unemployed"/>
    <s v="£20,001–£35,000"/>
    <s v="Suburban"/>
    <x v="29"/>
    <n v="162"/>
    <n v="90"/>
    <x v="0"/>
    <x v="0"/>
    <x v="1"/>
    <x v="0"/>
    <x v="1"/>
    <x v="0"/>
    <x v="0"/>
    <x v="0"/>
    <x v="0"/>
    <s v="Combination Drugs"/>
    <s v="Uncontrolled"/>
    <s v="Yes"/>
    <s v="Healthy"/>
  </r>
  <r>
    <n v="43"/>
    <x v="1"/>
    <s v="Postgraduate degree"/>
    <s v="Employed (services)"/>
    <s v="£20,001–£35,000"/>
    <s v="Urban"/>
    <x v="30"/>
    <n v="144"/>
    <n v="83"/>
    <x v="1"/>
    <x v="0"/>
    <x v="0"/>
    <x v="0"/>
    <x v="1"/>
    <x v="0"/>
    <x v="1"/>
    <x v="0"/>
    <x v="0"/>
    <s v="Single Drug"/>
    <s v="Uncontrolled"/>
    <s v="Yes"/>
    <s v="Healthy"/>
  </r>
  <r>
    <n v="43"/>
    <x v="1"/>
    <s v="Bachelor's degree"/>
    <s v="Manual / Trade worker"/>
    <s v="Under £20,000"/>
    <s v="Suburban"/>
    <x v="31"/>
    <n v="145"/>
    <n v="108"/>
    <x v="0"/>
    <x v="0"/>
    <x v="0"/>
    <x v="0"/>
    <x v="0"/>
    <x v="0"/>
    <x v="0"/>
    <x v="1"/>
    <x v="0"/>
    <s v="Single Drug"/>
    <s v="Controlled"/>
    <s v="Yes"/>
    <s v="Healthy"/>
  </r>
  <r>
    <n v="43"/>
    <x v="0"/>
    <s v="Primary school"/>
    <s v="Retired"/>
    <s v="Under £20,000"/>
    <s v="Suburban"/>
    <x v="32"/>
    <n v="155"/>
    <n v="84"/>
    <x v="0"/>
    <x v="0"/>
    <x v="0"/>
    <x v="0"/>
    <x v="0"/>
    <x v="0"/>
    <x v="0"/>
    <x v="1"/>
    <x v="0"/>
    <s v="Single Drug"/>
    <s v="Controlled"/>
    <s v="Yes"/>
    <s v="Unhealthy"/>
  </r>
  <r>
    <n v="44"/>
    <x v="1"/>
    <s v="Sixth form / A-levels"/>
    <s v="Employed (services)"/>
    <s v="Under £20,000"/>
    <s v="Rural"/>
    <x v="22"/>
    <n v="136"/>
    <n v="79"/>
    <x v="1"/>
    <x v="0"/>
    <x v="0"/>
    <x v="0"/>
    <x v="0"/>
    <x v="1"/>
    <x v="0"/>
    <x v="0"/>
    <x v="0"/>
    <s v="Combination Drugs"/>
    <s v="Controlled"/>
    <s v="Yes"/>
    <s v="Unhealthy"/>
  </r>
  <r>
    <n v="44"/>
    <x v="0"/>
    <s v="No formal education"/>
    <s v="Self-employed"/>
    <s v="Over £50,000"/>
    <s v="Urban"/>
    <x v="33"/>
    <n v="149"/>
    <n v="79"/>
    <x v="0"/>
    <x v="0"/>
    <x v="0"/>
    <x v="0"/>
    <x v="0"/>
    <x v="0"/>
    <x v="1"/>
    <x v="0"/>
    <x v="0"/>
    <s v="Combination Drugs"/>
    <s v="Uncontrolled"/>
    <s v="Yes"/>
    <s v="Unhealthy"/>
  </r>
  <r>
    <n v="44"/>
    <x v="1"/>
    <s v="No formal education"/>
    <s v="Retired"/>
    <s v="£20,001–£35,000"/>
    <s v="Rural"/>
    <x v="34"/>
    <n v="139"/>
    <n v="77"/>
    <x v="0"/>
    <x v="0"/>
    <x v="0"/>
    <x v="0"/>
    <x v="0"/>
    <x v="0"/>
    <x v="0"/>
    <x v="0"/>
    <x v="0"/>
    <s v="Combination Drugs"/>
    <s v="Uncontrolled"/>
    <s v="No"/>
    <s v="Unhealthy"/>
  </r>
  <r>
    <n v="44"/>
    <x v="1"/>
    <s v="Primary school"/>
    <s v="Manual / Trade worker"/>
    <s v="Over £50,000"/>
    <s v="Rural"/>
    <x v="1"/>
    <n v="165"/>
    <n v="85"/>
    <x v="1"/>
    <x v="0"/>
    <x v="1"/>
    <x v="0"/>
    <x v="1"/>
    <x v="0"/>
    <x v="0"/>
    <x v="0"/>
    <x v="0"/>
    <s v="Combination Drugs"/>
    <s v="Controlled"/>
    <s v="No"/>
    <s v="Healthy"/>
  </r>
  <r>
    <n v="44"/>
    <x v="1"/>
    <s v="Sixth form / A-levels"/>
    <s v="Homemaker"/>
    <s v="£20,001–£35,000"/>
    <s v="Rural"/>
    <x v="23"/>
    <n v="117"/>
    <n v="89"/>
    <x v="0"/>
    <x v="0"/>
    <x v="0"/>
    <x v="0"/>
    <x v="0"/>
    <x v="0"/>
    <x v="0"/>
    <x v="0"/>
    <x v="0"/>
    <s v="Combination Drugs"/>
    <s v="Controlled"/>
    <s v="Yes"/>
    <s v="Healthy"/>
  </r>
  <r>
    <n v="44"/>
    <x v="1"/>
    <s v="Secondary school (GCSE)"/>
    <s v="Self-employed"/>
    <s v="£20,001–£35,000"/>
    <s v="Urban"/>
    <x v="35"/>
    <n v="140"/>
    <n v="87"/>
    <x v="0"/>
    <x v="0"/>
    <x v="0"/>
    <x v="0"/>
    <x v="0"/>
    <x v="0"/>
    <x v="0"/>
    <x v="0"/>
    <x v="0"/>
    <s v="Combination Drugs"/>
    <s v="Uncontrolled"/>
    <s v="No"/>
    <s v="Healthy"/>
  </r>
  <r>
    <n v="45"/>
    <x v="0"/>
    <s v="Postgraduate degree"/>
    <s v="Homemaker"/>
    <s v="Under £20,000"/>
    <s v="Suburban"/>
    <x v="36"/>
    <n v="136"/>
    <n v="82"/>
    <x v="0"/>
    <x v="0"/>
    <x v="0"/>
    <x v="0"/>
    <x v="0"/>
    <x v="0"/>
    <x v="0"/>
    <x v="0"/>
    <x v="0"/>
    <s v="Combination Drugs"/>
    <s v="Uncontrolled"/>
    <s v="Yes"/>
    <s v="Unhealthy"/>
  </r>
  <r>
    <n v="45"/>
    <x v="0"/>
    <s v="Secondary school (GCSE)"/>
    <s v="Homemaker"/>
    <s v="Under £20,000"/>
    <s v="Urban"/>
    <x v="14"/>
    <n v="123"/>
    <n v="109"/>
    <x v="0"/>
    <x v="0"/>
    <x v="0"/>
    <x v="0"/>
    <x v="0"/>
    <x v="0"/>
    <x v="0"/>
    <x v="1"/>
    <x v="0"/>
    <s v="Combination Drugs"/>
    <s v="Uncontrolled"/>
    <s v="No"/>
    <s v="Healthy"/>
  </r>
  <r>
    <n v="46"/>
    <x v="0"/>
    <s v="Primary school"/>
    <s v="Homemaker"/>
    <s v="£20,001–£35,000"/>
    <s v="Rural"/>
    <x v="22"/>
    <n v="159"/>
    <n v="82"/>
    <x v="0"/>
    <x v="0"/>
    <x v="0"/>
    <x v="0"/>
    <x v="0"/>
    <x v="0"/>
    <x v="0"/>
    <x v="0"/>
    <x v="1"/>
    <s v="Combination Drugs"/>
    <s v="Uncontrolled"/>
    <s v="Yes"/>
    <s v="Healthy"/>
  </r>
  <r>
    <n v="46"/>
    <x v="0"/>
    <s v="Primary school"/>
    <s v="Self-employed"/>
    <s v="Under £20,000"/>
    <s v="Rural"/>
    <x v="18"/>
    <n v="150"/>
    <n v="93"/>
    <x v="1"/>
    <x v="0"/>
    <x v="0"/>
    <x v="0"/>
    <x v="0"/>
    <x v="0"/>
    <x v="0"/>
    <x v="1"/>
    <x v="0"/>
    <s v="Combination Drugs"/>
    <s v="Uncontrolled"/>
    <s v="Yes"/>
    <s v="Unhealthy"/>
  </r>
  <r>
    <n v="48"/>
    <x v="0"/>
    <s v="Primary school"/>
    <s v="Self-employed"/>
    <s v="£35,001–£50,000"/>
    <s v="Rural"/>
    <x v="37"/>
    <n v="137"/>
    <n v="102"/>
    <x v="0"/>
    <x v="0"/>
    <x v="0"/>
    <x v="0"/>
    <x v="0"/>
    <x v="0"/>
    <x v="0"/>
    <x v="0"/>
    <x v="0"/>
    <s v="Combination Drugs"/>
    <s v="Uncontrolled"/>
    <s v="Yes"/>
    <s v="Healthy"/>
  </r>
  <r>
    <n v="48"/>
    <x v="1"/>
    <s v="Primary school"/>
    <s v="Employed (services)"/>
    <s v="Under £20,000"/>
    <s v="Urban"/>
    <x v="28"/>
    <n v="127"/>
    <n v="92"/>
    <x v="0"/>
    <x v="0"/>
    <x v="0"/>
    <x v="0"/>
    <x v="0"/>
    <x v="0"/>
    <x v="0"/>
    <x v="0"/>
    <x v="0"/>
    <s v="Combination Drugs"/>
    <s v="Uncontrolled"/>
    <s v="No"/>
    <s v="Healthy"/>
  </r>
  <r>
    <n v="49"/>
    <x v="0"/>
    <s v="Sixth form / A-levels"/>
    <s v="Homemaker"/>
    <s v="£35,001–£50,000"/>
    <s v="Rural"/>
    <x v="24"/>
    <n v="138"/>
    <n v="89"/>
    <x v="0"/>
    <x v="1"/>
    <x v="0"/>
    <x v="1"/>
    <x v="1"/>
    <x v="0"/>
    <x v="0"/>
    <x v="0"/>
    <x v="0"/>
    <s v="Single Drug"/>
    <s v="Uncontrolled"/>
    <s v="Yes"/>
    <s v="Healthy"/>
  </r>
  <r>
    <n v="49"/>
    <x v="1"/>
    <s v="Postgraduate degree"/>
    <s v="Employed (services)"/>
    <s v="Under £20,000"/>
    <s v="Rural"/>
    <x v="3"/>
    <n v="136"/>
    <n v="91"/>
    <x v="1"/>
    <x v="0"/>
    <x v="0"/>
    <x v="0"/>
    <x v="0"/>
    <x v="0"/>
    <x v="0"/>
    <x v="0"/>
    <x v="0"/>
    <s v="Combination Drugs"/>
    <s v="Controlled"/>
    <s v="Yes"/>
    <s v="Healthy"/>
  </r>
  <r>
    <n v="49"/>
    <x v="0"/>
    <s v="Postgraduate degree"/>
    <s v="Self-employed"/>
    <s v="£20,001–£35,000"/>
    <s v="Rural"/>
    <x v="38"/>
    <n v="141"/>
    <n v="89"/>
    <x v="0"/>
    <x v="0"/>
    <x v="1"/>
    <x v="1"/>
    <x v="0"/>
    <x v="0"/>
    <x v="0"/>
    <x v="0"/>
    <x v="0"/>
    <s v="Combination Drugs"/>
    <s v="Uncontrolled"/>
    <s v="Yes"/>
    <s v="Healthy"/>
  </r>
  <r>
    <n v="50"/>
    <x v="0"/>
    <s v="Secondary school (GCSE)"/>
    <s v="Manual / Trade worker"/>
    <s v="£35,001–£50,000"/>
    <s v="Rural"/>
    <x v="37"/>
    <n v="133"/>
    <n v="99"/>
    <x v="0"/>
    <x v="1"/>
    <x v="0"/>
    <x v="0"/>
    <x v="0"/>
    <x v="0"/>
    <x v="1"/>
    <x v="0"/>
    <x v="0"/>
    <s v="Combination Drugs"/>
    <s v="Uncontrolled"/>
    <s v="Yes"/>
    <s v="Healthy"/>
  </r>
  <r>
    <n v="50"/>
    <x v="1"/>
    <s v="Primary school"/>
    <s v="Manual / Trade worker"/>
    <s v="Under £20,000"/>
    <s v="Urban"/>
    <x v="30"/>
    <n v="143"/>
    <n v="97"/>
    <x v="0"/>
    <x v="0"/>
    <x v="1"/>
    <x v="0"/>
    <x v="0"/>
    <x v="0"/>
    <x v="0"/>
    <x v="0"/>
    <x v="0"/>
    <s v="Combination Drugs"/>
    <s v="Uncontrolled"/>
    <s v="No"/>
    <s v="Healthy"/>
  </r>
  <r>
    <n v="50"/>
    <x v="0"/>
    <s v="Postgraduate degree"/>
    <s v="Homemaker"/>
    <s v="£35,001–£50,000"/>
    <s v="Rural"/>
    <x v="3"/>
    <n v="146"/>
    <n v="100"/>
    <x v="0"/>
    <x v="0"/>
    <x v="0"/>
    <x v="0"/>
    <x v="0"/>
    <x v="0"/>
    <x v="0"/>
    <x v="0"/>
    <x v="0"/>
    <s v="Combination Drugs"/>
    <s v="Uncontrolled"/>
    <s v="No"/>
    <s v="Healthy"/>
  </r>
  <r>
    <n v="50"/>
    <x v="1"/>
    <s v="Secondary school (GCSE)"/>
    <s v="Homemaker"/>
    <s v="£20,001–£35,000"/>
    <s v="Rural"/>
    <x v="38"/>
    <n v="144"/>
    <n v="76"/>
    <x v="0"/>
    <x v="0"/>
    <x v="0"/>
    <x v="0"/>
    <x v="0"/>
    <x v="0"/>
    <x v="0"/>
    <x v="0"/>
    <x v="0"/>
    <s v="Combination Drugs"/>
    <s v="Uncontrolled"/>
    <s v="No"/>
    <s v="Healthy"/>
  </r>
  <r>
    <n v="51"/>
    <x v="1"/>
    <s v="Primary school"/>
    <s v="Homemaker"/>
    <s v="Under £20,000"/>
    <s v="Urban"/>
    <x v="14"/>
    <n v="132"/>
    <n v="84"/>
    <x v="0"/>
    <x v="0"/>
    <x v="1"/>
    <x v="0"/>
    <x v="0"/>
    <x v="0"/>
    <x v="0"/>
    <x v="0"/>
    <x v="0"/>
    <s v="Combination Drugs"/>
    <s v="Uncontrolled"/>
    <s v="Yes"/>
    <s v="Healthy"/>
  </r>
  <r>
    <n v="51"/>
    <x v="1"/>
    <s v="Primary school"/>
    <s v="Self-employed"/>
    <s v="Under £20,000"/>
    <s v="Suburban"/>
    <x v="39"/>
    <n v="144"/>
    <n v="97"/>
    <x v="0"/>
    <x v="0"/>
    <x v="0"/>
    <x v="1"/>
    <x v="0"/>
    <x v="0"/>
    <x v="0"/>
    <x v="0"/>
    <x v="0"/>
    <s v="Combination Drugs"/>
    <s v="Uncontrolled"/>
    <s v="No"/>
    <s v="Unhealthy"/>
  </r>
  <r>
    <n v="53"/>
    <x v="1"/>
    <s v="Bachelor's degree"/>
    <s v="Homemaker"/>
    <s v="£20,001–£35,000"/>
    <s v="Suburban"/>
    <x v="40"/>
    <n v="152"/>
    <n v="95"/>
    <x v="0"/>
    <x v="0"/>
    <x v="0"/>
    <x v="0"/>
    <x v="1"/>
    <x v="0"/>
    <x v="0"/>
    <x v="0"/>
    <x v="0"/>
    <s v="Combination Drugs"/>
    <s v="Controlled"/>
    <s v="Yes"/>
    <s v="Unhealthy"/>
  </r>
  <r>
    <n v="53"/>
    <x v="0"/>
    <s v="Secondary school (GCSE)"/>
    <s v="Self-employed"/>
    <s v="£20,001–£35,000"/>
    <s v="Urban"/>
    <x v="41"/>
    <n v="135"/>
    <n v="91"/>
    <x v="0"/>
    <x v="0"/>
    <x v="0"/>
    <x v="0"/>
    <x v="0"/>
    <x v="0"/>
    <x v="0"/>
    <x v="0"/>
    <x v="0"/>
    <s v="Combination Drugs"/>
    <s v="Controlled"/>
    <s v="Yes"/>
    <s v="Unhealthy"/>
  </r>
  <r>
    <n v="54"/>
    <x v="1"/>
    <s v="Primary school"/>
    <s v="Self-employed"/>
    <s v="Over £50,000"/>
    <s v="Rural"/>
    <x v="34"/>
    <n v="146"/>
    <n v="84"/>
    <x v="0"/>
    <x v="0"/>
    <x v="0"/>
    <x v="0"/>
    <x v="1"/>
    <x v="0"/>
    <x v="0"/>
    <x v="0"/>
    <x v="0"/>
    <s v="Combination Drugs"/>
    <s v="Controlled"/>
    <s v="Yes"/>
    <s v="Healthy"/>
  </r>
  <r>
    <n v="55"/>
    <x v="0"/>
    <s v="Postgraduate degree"/>
    <s v="Employed (services)"/>
    <s v="Under £20,000"/>
    <s v="Rural"/>
    <x v="22"/>
    <n v="161"/>
    <n v="89"/>
    <x v="0"/>
    <x v="0"/>
    <x v="0"/>
    <x v="0"/>
    <x v="0"/>
    <x v="0"/>
    <x v="0"/>
    <x v="0"/>
    <x v="0"/>
    <s v="Single Drug"/>
    <s v="Uncontrolled"/>
    <s v="Yes"/>
    <s v="Unhealthy"/>
  </r>
  <r>
    <n v="55"/>
    <x v="0"/>
    <s v="Primary school"/>
    <s v="Homemaker"/>
    <s v="Under £20,000"/>
    <s v="Urban"/>
    <x v="28"/>
    <n v="155"/>
    <n v="98"/>
    <x v="0"/>
    <x v="0"/>
    <x v="0"/>
    <x v="0"/>
    <x v="0"/>
    <x v="0"/>
    <x v="1"/>
    <x v="0"/>
    <x v="0"/>
    <s v="Combination Drugs"/>
    <s v="Uncontrolled"/>
    <s v="Yes"/>
    <s v="Healthy"/>
  </r>
  <r>
    <n v="56"/>
    <x v="1"/>
    <s v="No formal education"/>
    <s v="Self-employed"/>
    <s v="£20,001–£35,000"/>
    <s v="Urban"/>
    <x v="4"/>
    <n v="150"/>
    <n v="99"/>
    <x v="1"/>
    <x v="0"/>
    <x v="1"/>
    <x v="0"/>
    <x v="0"/>
    <x v="0"/>
    <x v="0"/>
    <x v="0"/>
    <x v="0"/>
    <s v="Combination Drugs"/>
    <s v="Uncontrolled"/>
    <s v="No"/>
    <s v="Unhealthy"/>
  </r>
  <r>
    <n v="56"/>
    <x v="0"/>
    <s v="Secondary school (GCSE)"/>
    <s v="Self-employed"/>
    <s v="Over £50,000"/>
    <s v="Rural"/>
    <x v="42"/>
    <n v="127"/>
    <n v="81"/>
    <x v="0"/>
    <x v="0"/>
    <x v="0"/>
    <x v="0"/>
    <x v="0"/>
    <x v="0"/>
    <x v="0"/>
    <x v="0"/>
    <x v="0"/>
    <s v="Single Drug"/>
    <s v="Uncontrolled"/>
    <s v="Yes"/>
    <s v="Healthy"/>
  </r>
  <r>
    <n v="56"/>
    <x v="1"/>
    <s v="Secondary school (GCSE)"/>
    <s v="Homemaker"/>
    <s v="Under £20,000"/>
    <s v="Rural"/>
    <x v="43"/>
    <n v="145"/>
    <n v="81"/>
    <x v="0"/>
    <x v="0"/>
    <x v="0"/>
    <x v="0"/>
    <x v="0"/>
    <x v="0"/>
    <x v="0"/>
    <x v="0"/>
    <x v="0"/>
    <s v="Combination Drugs"/>
    <s v="Uncontrolled"/>
    <s v="Yes"/>
    <s v="Unhealthy"/>
  </r>
  <r>
    <n v="57"/>
    <x v="0"/>
    <s v="Secondary school (GCSE)"/>
    <s v="Retired"/>
    <s v="£20,001–£35,000"/>
    <s v="Rural"/>
    <x v="44"/>
    <n v="149"/>
    <n v="97"/>
    <x v="1"/>
    <x v="0"/>
    <x v="1"/>
    <x v="0"/>
    <x v="1"/>
    <x v="0"/>
    <x v="0"/>
    <x v="0"/>
    <x v="0"/>
    <s v="Combination Drugs"/>
    <s v="Uncontrolled"/>
    <s v="Yes"/>
    <s v="Healthy"/>
  </r>
  <r>
    <n v="58"/>
    <x v="1"/>
    <s v="No formal education"/>
    <s v="Employed (services)"/>
    <s v="Under £20,000"/>
    <s v="Urban"/>
    <x v="6"/>
    <n v="116"/>
    <n v="100"/>
    <x v="0"/>
    <x v="0"/>
    <x v="0"/>
    <x v="0"/>
    <x v="0"/>
    <x v="0"/>
    <x v="1"/>
    <x v="0"/>
    <x v="0"/>
    <s v="Single Drug"/>
    <s v="Controlled"/>
    <s v="Yes"/>
    <s v="Healthy"/>
  </r>
  <r>
    <n v="58"/>
    <x v="0"/>
    <s v="Secondary school (GCSE)"/>
    <s v="Employed (services)"/>
    <s v="Over £50,000"/>
    <s v="Urban"/>
    <x v="27"/>
    <n v="178"/>
    <n v="96"/>
    <x v="0"/>
    <x v="0"/>
    <x v="1"/>
    <x v="0"/>
    <x v="1"/>
    <x v="0"/>
    <x v="0"/>
    <x v="0"/>
    <x v="0"/>
    <s v="Single Drug"/>
    <s v="Uncontrolled"/>
    <s v="Yes"/>
    <s v="Unhealthy"/>
  </r>
  <r>
    <n v="58"/>
    <x v="0"/>
    <s v="Primary school"/>
    <s v="Employed (services)"/>
    <s v="Under £20,000"/>
    <s v="Urban"/>
    <x v="28"/>
    <n v="131"/>
    <n v="96"/>
    <x v="0"/>
    <x v="0"/>
    <x v="0"/>
    <x v="0"/>
    <x v="0"/>
    <x v="0"/>
    <x v="0"/>
    <x v="0"/>
    <x v="0"/>
    <s v="Combination Drugs"/>
    <s v="Uncontrolled"/>
    <s v="Yes"/>
    <s v="Healthy"/>
  </r>
  <r>
    <n v="59"/>
    <x v="0"/>
    <s v="Primary school"/>
    <s v="Manual / Trade worker"/>
    <s v="£20,001–£35,000"/>
    <s v="Rural"/>
    <x v="15"/>
    <n v="163"/>
    <n v="93"/>
    <x v="1"/>
    <x v="0"/>
    <x v="1"/>
    <x v="0"/>
    <x v="0"/>
    <x v="0"/>
    <x v="0"/>
    <x v="0"/>
    <x v="0"/>
    <s v="Combination Drugs"/>
    <s v="Uncontrolled"/>
    <s v="Yes"/>
    <s v="Healthy"/>
  </r>
  <r>
    <n v="59"/>
    <x v="1"/>
    <s v="Postgraduate degree"/>
    <s v="Manual / Trade worker"/>
    <s v="Under £20,000"/>
    <s v="Rural"/>
    <x v="42"/>
    <n v="170"/>
    <n v="75"/>
    <x v="0"/>
    <x v="0"/>
    <x v="0"/>
    <x v="0"/>
    <x v="0"/>
    <x v="0"/>
    <x v="0"/>
    <x v="0"/>
    <x v="0"/>
    <s v="Single Drug"/>
    <s v="Uncontrolled"/>
    <s v="Yes"/>
    <s v="Healthy"/>
  </r>
  <r>
    <n v="59"/>
    <x v="0"/>
    <s v="Secondary school (GCSE)"/>
    <s v="Self-employed"/>
    <s v="£35,001–£50,000"/>
    <s v="Urban"/>
    <x v="45"/>
    <n v="108"/>
    <n v="107"/>
    <x v="0"/>
    <x v="0"/>
    <x v="0"/>
    <x v="0"/>
    <x v="0"/>
    <x v="0"/>
    <x v="0"/>
    <x v="0"/>
    <x v="0"/>
    <s v="Single Drug"/>
    <s v="Controlled"/>
    <s v="Yes"/>
    <s v="Unhealthy"/>
  </r>
  <r>
    <n v="60"/>
    <x v="1"/>
    <s v="Bachelor's degree"/>
    <s v="Retired"/>
    <s v="Under £20,000"/>
    <s v="Urban"/>
    <x v="33"/>
    <n v="153"/>
    <n v="83"/>
    <x v="0"/>
    <x v="0"/>
    <x v="0"/>
    <x v="0"/>
    <x v="0"/>
    <x v="0"/>
    <x v="0"/>
    <x v="0"/>
    <x v="0"/>
    <s v="Combination Drugs"/>
    <s v="Uncontrolled"/>
    <s v="Yes"/>
    <s v="Healthy"/>
  </r>
  <r>
    <n v="60"/>
    <x v="1"/>
    <s v="Sixth form / A-levels"/>
    <s v="Homemaker"/>
    <s v="Under £20,000"/>
    <s v="Urban"/>
    <x v="0"/>
    <n v="146"/>
    <n v="84"/>
    <x v="0"/>
    <x v="0"/>
    <x v="0"/>
    <x v="0"/>
    <x v="0"/>
    <x v="0"/>
    <x v="0"/>
    <x v="0"/>
    <x v="0"/>
    <s v="Combination Drugs"/>
    <s v="Uncontrolled"/>
    <s v="Yes"/>
    <s v="Unhealthy"/>
  </r>
  <r>
    <n v="61"/>
    <x v="1"/>
    <s v="No formal education"/>
    <s v="Employed (services)"/>
    <s v="£20,001–£35,000"/>
    <s v="Suburban"/>
    <x v="46"/>
    <n v="133"/>
    <n v="100"/>
    <x v="0"/>
    <x v="0"/>
    <x v="0"/>
    <x v="0"/>
    <x v="0"/>
    <x v="0"/>
    <x v="1"/>
    <x v="0"/>
    <x v="0"/>
    <s v="Combination Drugs"/>
    <s v="Controlled"/>
    <s v="Yes"/>
    <s v="Unhealthy"/>
  </r>
  <r>
    <n v="61"/>
    <x v="1"/>
    <s v="Bachelor's degree"/>
    <s v="Retired"/>
    <s v="£20,001–£35,000"/>
    <s v="Urban"/>
    <x v="45"/>
    <n v="139"/>
    <n v="97"/>
    <x v="0"/>
    <x v="0"/>
    <x v="1"/>
    <x v="0"/>
    <x v="0"/>
    <x v="0"/>
    <x v="0"/>
    <x v="0"/>
    <x v="0"/>
    <s v="Combination Drugs"/>
    <s v="Controlled"/>
    <s v="Yes"/>
    <s v="Unhealthy"/>
  </r>
  <r>
    <n v="62"/>
    <x v="1"/>
    <s v="Primary school"/>
    <s v="Homemaker"/>
    <s v="£20,001–£35,000"/>
    <s v="Suburban"/>
    <x v="26"/>
    <n v="160"/>
    <n v="85"/>
    <x v="0"/>
    <x v="0"/>
    <x v="0"/>
    <x v="0"/>
    <x v="0"/>
    <x v="0"/>
    <x v="1"/>
    <x v="0"/>
    <x v="0"/>
    <s v="Single Drug"/>
    <s v="Uncontrolled"/>
    <s v="Yes"/>
    <s v="Unhealthy"/>
  </r>
  <r>
    <n v="62"/>
    <x v="1"/>
    <s v="Bachelor's degree"/>
    <s v="Self-employed"/>
    <s v="Under £20,000"/>
    <s v="Rural"/>
    <x v="20"/>
    <n v="160"/>
    <n v="95"/>
    <x v="0"/>
    <x v="0"/>
    <x v="0"/>
    <x v="0"/>
    <x v="0"/>
    <x v="0"/>
    <x v="0"/>
    <x v="1"/>
    <x v="0"/>
    <s v="Combination Drugs"/>
    <s v="Controlled"/>
    <s v="No"/>
    <s v="Unhealthy"/>
  </r>
  <r>
    <n v="62"/>
    <x v="1"/>
    <s v="No formal education"/>
    <s v="Employed (services)"/>
    <s v="Under £20,000"/>
    <s v="Rural"/>
    <x v="47"/>
    <n v="174"/>
    <n v="95"/>
    <x v="0"/>
    <x v="0"/>
    <x v="0"/>
    <x v="0"/>
    <x v="0"/>
    <x v="0"/>
    <x v="0"/>
    <x v="0"/>
    <x v="0"/>
    <s v="Combination Drugs"/>
    <s v="Uncontrolled"/>
    <s v="Yes"/>
    <s v="Unhealthy"/>
  </r>
  <r>
    <n v="62"/>
    <x v="1"/>
    <s v="Primary school"/>
    <s v="Homemaker"/>
    <s v="Under £20,000"/>
    <s v="Suburban"/>
    <x v="39"/>
    <n v="124"/>
    <n v="83"/>
    <x v="0"/>
    <x v="0"/>
    <x v="0"/>
    <x v="0"/>
    <x v="0"/>
    <x v="0"/>
    <x v="1"/>
    <x v="0"/>
    <x v="0"/>
    <s v="Combination Drugs"/>
    <s v="Uncontrolled"/>
    <s v="Yes"/>
    <s v="Unhealthy"/>
  </r>
  <r>
    <n v="62"/>
    <x v="1"/>
    <s v="Primary school"/>
    <s v="Retired"/>
    <s v="£20,001–£35,000"/>
    <s v="Suburban"/>
    <x v="40"/>
    <n v="145"/>
    <n v="90"/>
    <x v="0"/>
    <x v="0"/>
    <x v="0"/>
    <x v="1"/>
    <x v="0"/>
    <x v="0"/>
    <x v="0"/>
    <x v="0"/>
    <x v="0"/>
    <s v="Combination Drugs"/>
    <s v="Uncontrolled"/>
    <s v="Yes"/>
    <s v="Unhealthy"/>
  </r>
  <r>
    <n v="64"/>
    <x v="0"/>
    <s v="Primary school"/>
    <s v="Manual / Trade worker"/>
    <s v="Under £20,000"/>
    <s v="Rural"/>
    <x v="48"/>
    <n v="138"/>
    <n v="80"/>
    <x v="0"/>
    <x v="0"/>
    <x v="1"/>
    <x v="0"/>
    <x v="0"/>
    <x v="0"/>
    <x v="0"/>
    <x v="0"/>
    <x v="0"/>
    <s v="Single Drug"/>
    <s v="Controlled"/>
    <s v="Yes"/>
    <s v="Unhealthy"/>
  </r>
  <r>
    <n v="65"/>
    <x v="1"/>
    <s v="Primary school"/>
    <s v="Homemaker"/>
    <s v="Under £20,000"/>
    <s v="Suburban"/>
    <x v="49"/>
    <n v="146"/>
    <n v="93"/>
    <x v="0"/>
    <x v="0"/>
    <x v="1"/>
    <x v="0"/>
    <x v="0"/>
    <x v="0"/>
    <x v="0"/>
    <x v="0"/>
    <x v="0"/>
    <s v="Combination Drugs"/>
    <s v="Controlled"/>
    <s v="No"/>
    <s v="Healthy"/>
  </r>
  <r>
    <n v="65"/>
    <x v="0"/>
    <s v="Primary school"/>
    <s v="Employed (services)"/>
    <s v="Over £50,000"/>
    <s v="Urban"/>
    <x v="50"/>
    <n v="145"/>
    <n v="95"/>
    <x v="0"/>
    <x v="0"/>
    <x v="0"/>
    <x v="0"/>
    <x v="0"/>
    <x v="0"/>
    <x v="0"/>
    <x v="0"/>
    <x v="0"/>
    <s v="Combination Drugs"/>
    <s v="Uncontrolled"/>
    <s v="Yes"/>
    <s v="Healthy"/>
  </r>
  <r>
    <n v="65"/>
    <x v="0"/>
    <s v="No formal education"/>
    <s v="Employed (services)"/>
    <s v="Under £20,000"/>
    <s v="Rural"/>
    <x v="42"/>
    <n v="162"/>
    <n v="77"/>
    <x v="0"/>
    <x v="0"/>
    <x v="0"/>
    <x v="0"/>
    <x v="0"/>
    <x v="0"/>
    <x v="0"/>
    <x v="1"/>
    <x v="0"/>
    <s v="Combination Drugs"/>
    <s v="Uncontrolled"/>
    <s v="Yes"/>
    <s v="Healthy"/>
  </r>
  <r>
    <n v="65"/>
    <x v="0"/>
    <s v="Secondary school (GCSE)"/>
    <s v="Homemaker"/>
    <s v="Under £20,000"/>
    <s v="Urban"/>
    <x v="45"/>
    <n v="158"/>
    <n v="79"/>
    <x v="0"/>
    <x v="0"/>
    <x v="0"/>
    <x v="0"/>
    <x v="0"/>
    <x v="0"/>
    <x v="0"/>
    <x v="0"/>
    <x v="0"/>
    <s v="Combination Drugs"/>
    <s v="Uncontrolled"/>
    <s v="No"/>
    <s v="Unhealthy"/>
  </r>
  <r>
    <n v="65"/>
    <x v="0"/>
    <s v="Secondary school (GCSE)"/>
    <s v="Homemaker"/>
    <s v="£20,001–£35,000"/>
    <s v="Rural"/>
    <x v="47"/>
    <n v="121"/>
    <n v="100"/>
    <x v="0"/>
    <x v="0"/>
    <x v="0"/>
    <x v="0"/>
    <x v="0"/>
    <x v="0"/>
    <x v="0"/>
    <x v="0"/>
    <x v="0"/>
    <s v="Single Drug"/>
    <s v="Uncontrolled"/>
    <s v="No"/>
    <s v="Healthy"/>
  </r>
  <r>
    <n v="66"/>
    <x v="1"/>
    <s v="No formal education"/>
    <s v="Homemaker"/>
    <s v="Under £20,000"/>
    <s v="Rural"/>
    <x v="42"/>
    <n v="139"/>
    <n v="80"/>
    <x v="1"/>
    <x v="1"/>
    <x v="0"/>
    <x v="0"/>
    <x v="0"/>
    <x v="0"/>
    <x v="0"/>
    <x v="1"/>
    <x v="0"/>
    <s v="Combination Drugs"/>
    <s v="Uncontrolled"/>
    <s v="Yes"/>
    <s v="Healthy"/>
  </r>
  <r>
    <n v="66"/>
    <x v="0"/>
    <s v="Secondary school (GCSE)"/>
    <s v="Manual / Trade worker"/>
    <s v="£20,001–£35,000"/>
    <s v="Rural"/>
    <x v="34"/>
    <n v="142"/>
    <n v="102"/>
    <x v="0"/>
    <x v="0"/>
    <x v="0"/>
    <x v="0"/>
    <x v="0"/>
    <x v="0"/>
    <x v="0"/>
    <x v="0"/>
    <x v="0"/>
    <s v="Combination Drugs"/>
    <s v="Uncontrolled"/>
    <s v="Yes"/>
    <s v="Healthy"/>
  </r>
  <r>
    <n v="66"/>
    <x v="1"/>
    <s v="Sixth form / A-levels"/>
    <s v="Retired"/>
    <s v="£20,001–£35,000"/>
    <s v="Rural"/>
    <x v="15"/>
    <n v="108"/>
    <n v="88"/>
    <x v="0"/>
    <x v="0"/>
    <x v="0"/>
    <x v="0"/>
    <x v="0"/>
    <x v="0"/>
    <x v="1"/>
    <x v="0"/>
    <x v="0"/>
    <s v="Combination Drugs"/>
    <s v="Uncontrolled"/>
    <s v="Yes"/>
    <s v="Unhealthy"/>
  </r>
  <r>
    <n v="69"/>
    <x v="1"/>
    <s v="Secondary school (GCSE)"/>
    <s v="Homemaker"/>
    <s v="£35,001–£50,000"/>
    <s v="Urban"/>
    <x v="35"/>
    <n v="154"/>
    <n v="79"/>
    <x v="0"/>
    <x v="0"/>
    <x v="0"/>
    <x v="0"/>
    <x v="0"/>
    <x v="0"/>
    <x v="0"/>
    <x v="0"/>
    <x v="0"/>
    <s v="Combination Drugs"/>
    <s v="Uncontrolled"/>
    <s v="Yes"/>
    <s v="Healthy"/>
  </r>
  <r>
    <n v="69"/>
    <x v="1"/>
    <s v="Primary school"/>
    <s v="Manual / Trade worker"/>
    <s v="Under £20,000"/>
    <s v="Urban"/>
    <x v="6"/>
    <n v="167"/>
    <n v="96"/>
    <x v="0"/>
    <x v="0"/>
    <x v="0"/>
    <x v="0"/>
    <x v="0"/>
    <x v="0"/>
    <x v="0"/>
    <x v="0"/>
    <x v="0"/>
    <s v="Combination Drugs"/>
    <s v="Uncontrolled"/>
    <s v="Yes"/>
    <s v="Healthy"/>
  </r>
  <r>
    <n v="70"/>
    <x v="1"/>
    <s v="Secondary school (GCSE)"/>
    <s v="Homemaker"/>
    <s v="Under £20,000"/>
    <s v="Rural"/>
    <x v="1"/>
    <n v="145"/>
    <n v="84"/>
    <x v="0"/>
    <x v="1"/>
    <x v="0"/>
    <x v="0"/>
    <x v="0"/>
    <x v="0"/>
    <x v="0"/>
    <x v="0"/>
    <x v="0"/>
    <s v="Combination Drugs"/>
    <s v="Controlled"/>
    <s v="Yes"/>
    <s v="Healthy"/>
  </r>
  <r>
    <n v="70"/>
    <x v="1"/>
    <s v="Postgraduate degree"/>
    <s v="Homemaker"/>
    <s v="Under £20,000"/>
    <s v="Urban"/>
    <x v="35"/>
    <n v="141"/>
    <n v="82"/>
    <x v="0"/>
    <x v="0"/>
    <x v="0"/>
    <x v="0"/>
    <x v="0"/>
    <x v="0"/>
    <x v="0"/>
    <x v="0"/>
    <x v="0"/>
    <s v="Combination Drugs"/>
    <s v="Uncontrolled"/>
    <s v="Yes"/>
    <s v="Healthy"/>
  </r>
  <r>
    <n v="74"/>
    <x v="0"/>
    <s v="Bachelor's degree"/>
    <s v="Homemaker"/>
    <s v="£35,001–£50,000"/>
    <s v="Urban"/>
    <x v="45"/>
    <n v="148"/>
    <n v="86"/>
    <x v="1"/>
    <x v="0"/>
    <x v="0"/>
    <x v="0"/>
    <x v="0"/>
    <x v="0"/>
    <x v="0"/>
    <x v="0"/>
    <x v="0"/>
    <s v="Single Drug"/>
    <s v="Uncontrolled"/>
    <s v="Yes"/>
    <s v="Healthy"/>
  </r>
  <r>
    <n v="76"/>
    <x v="0"/>
    <s v="Postgraduate degree"/>
    <s v="Homemaker"/>
    <s v="£35,001–£50,000"/>
    <s v="Urban"/>
    <x v="12"/>
    <n v="144"/>
    <n v="100"/>
    <x v="0"/>
    <x v="0"/>
    <x v="0"/>
    <x v="0"/>
    <x v="0"/>
    <x v="0"/>
    <x v="0"/>
    <x v="0"/>
    <x v="0"/>
    <s v="Combination Drugs"/>
    <s v="Uncontrolled"/>
    <s v="Yes"/>
    <s v="Unhealthy"/>
  </r>
  <r>
    <n v="77"/>
    <x v="0"/>
    <s v="Secondary school (GCSE)"/>
    <s v="Employed (services)"/>
    <s v="Under £20,000"/>
    <s v="Suburban"/>
    <x v="36"/>
    <n v="122"/>
    <n v="89"/>
    <x v="1"/>
    <x v="0"/>
    <x v="0"/>
    <x v="0"/>
    <x v="0"/>
    <x v="0"/>
    <x v="0"/>
    <x v="0"/>
    <x v="0"/>
    <s v="Combination Drugs"/>
    <s v="Uncontrolled"/>
    <s v="Yes"/>
    <s v="Unhealthy"/>
  </r>
  <r>
    <n v="80"/>
    <x v="1"/>
    <s v="Secondary school (GCSE)"/>
    <s v="Employed (services)"/>
    <s v="£20,001–£35,000"/>
    <s v="Urban"/>
    <x v="11"/>
    <n v="156"/>
    <n v="78"/>
    <x v="0"/>
    <x v="0"/>
    <x v="1"/>
    <x v="0"/>
    <x v="1"/>
    <x v="0"/>
    <x v="1"/>
    <x v="0"/>
    <x v="0"/>
    <s v="Combination Drugs"/>
    <s v="Uncontrolled"/>
    <s v="Yes"/>
    <s v="Unhealthy"/>
  </r>
  <r>
    <n v="82"/>
    <x v="1"/>
    <s v="Primary school"/>
    <s v="Homemaker"/>
    <s v="Under £20,000"/>
    <s v="Suburban"/>
    <x v="39"/>
    <n v="136"/>
    <n v="98"/>
    <x v="0"/>
    <x v="0"/>
    <x v="1"/>
    <x v="0"/>
    <x v="0"/>
    <x v="0"/>
    <x v="0"/>
    <x v="0"/>
    <x v="0"/>
    <s v="Combination Drugs"/>
    <s v="Uncontrolled"/>
    <s v="Yes"/>
    <s v="Unhealth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24"/>
    <x v="0"/>
    <s v="Secondary school (GCSE)"/>
    <s v="Homemaker"/>
    <s v="Under £20,000"/>
    <x v="0"/>
    <x v="0"/>
    <x v="0"/>
    <x v="0"/>
    <s v="No"/>
    <x v="0"/>
    <s v="Yes"/>
    <s v="No"/>
    <x v="0"/>
    <s v="No"/>
    <s v="No"/>
    <x v="0"/>
    <s v="No"/>
    <x v="0"/>
    <x v="0"/>
    <x v="0"/>
    <x v="0"/>
  </r>
  <r>
    <x v="0"/>
    <n v="26"/>
    <x v="1"/>
    <s v="Secondary school (GCSE)"/>
    <s v="Employed (services)"/>
    <s v="Under £20,000"/>
    <x v="1"/>
    <x v="1"/>
    <x v="1"/>
    <x v="1"/>
    <s v="No"/>
    <x v="0"/>
    <s v="No"/>
    <s v="No"/>
    <x v="0"/>
    <s v="No"/>
    <s v="No"/>
    <x v="1"/>
    <s v="No"/>
    <x v="1"/>
    <x v="1"/>
    <x v="1"/>
    <x v="0"/>
  </r>
  <r>
    <x v="0"/>
    <n v="27"/>
    <x v="1"/>
    <s v="Primary school"/>
    <s v="Homemaker"/>
    <s v="£20,001–£35,000"/>
    <x v="1"/>
    <x v="2"/>
    <x v="2"/>
    <x v="2"/>
    <s v="No"/>
    <x v="0"/>
    <s v="Yes"/>
    <s v="Yes"/>
    <x v="1"/>
    <s v="No"/>
    <s v="No"/>
    <x v="0"/>
    <s v="No"/>
    <x v="1"/>
    <x v="0"/>
    <x v="1"/>
    <x v="0"/>
  </r>
  <r>
    <x v="0"/>
    <n v="29"/>
    <x v="0"/>
    <s v="No formal education"/>
    <s v="Self-employed"/>
    <s v="Under £20,000"/>
    <x v="1"/>
    <x v="3"/>
    <x v="3"/>
    <x v="3"/>
    <s v="No"/>
    <x v="1"/>
    <s v="No"/>
    <s v="No"/>
    <x v="0"/>
    <s v="No"/>
    <s v="No"/>
    <x v="0"/>
    <s v="No"/>
    <x v="1"/>
    <x v="1"/>
    <x v="1"/>
    <x v="1"/>
  </r>
  <r>
    <x v="0"/>
    <n v="29"/>
    <x v="1"/>
    <s v="Sixth form / A-levels"/>
    <s v="Homemaker"/>
    <s v="£20,001–£35,000"/>
    <x v="0"/>
    <x v="4"/>
    <x v="4"/>
    <x v="4"/>
    <s v="No"/>
    <x v="0"/>
    <s v="Yes"/>
    <s v="No"/>
    <x v="0"/>
    <s v="No"/>
    <s v="No"/>
    <x v="0"/>
    <s v="No"/>
    <x v="1"/>
    <x v="0"/>
    <x v="0"/>
    <x v="0"/>
  </r>
  <r>
    <x v="1"/>
    <n v="30"/>
    <x v="0"/>
    <s v="Postgraduate degree"/>
    <s v="Homemaker"/>
    <s v="£20,001–£35,000"/>
    <x v="1"/>
    <x v="5"/>
    <x v="5"/>
    <x v="5"/>
    <s v="No"/>
    <x v="0"/>
    <s v="Yes"/>
    <s v="No"/>
    <x v="0"/>
    <s v="No"/>
    <s v="No"/>
    <x v="0"/>
    <s v="No"/>
    <x v="1"/>
    <x v="0"/>
    <x v="1"/>
    <x v="1"/>
  </r>
  <r>
    <x v="1"/>
    <n v="30"/>
    <x v="0"/>
    <s v="Sixth form / A-levels"/>
    <s v="Manual / Trade worker"/>
    <s v="Under £20,000"/>
    <x v="0"/>
    <x v="6"/>
    <x v="6"/>
    <x v="6"/>
    <s v="No"/>
    <x v="0"/>
    <s v="Yes"/>
    <s v="No"/>
    <x v="0"/>
    <s v="No"/>
    <s v="No"/>
    <x v="0"/>
    <s v="No"/>
    <x v="0"/>
    <x v="0"/>
    <x v="0"/>
    <x v="1"/>
  </r>
  <r>
    <x v="1"/>
    <n v="30"/>
    <x v="0"/>
    <s v="Primary school"/>
    <s v="Homemaker"/>
    <s v="Over £50,000"/>
    <x v="2"/>
    <x v="7"/>
    <x v="7"/>
    <x v="7"/>
    <s v="No"/>
    <x v="0"/>
    <s v="No"/>
    <s v="No"/>
    <x v="0"/>
    <s v="No"/>
    <s v="No"/>
    <x v="0"/>
    <s v="No"/>
    <x v="1"/>
    <x v="0"/>
    <x v="0"/>
    <x v="1"/>
  </r>
  <r>
    <x v="1"/>
    <n v="34"/>
    <x v="0"/>
    <s v="Sixth form / A-levels"/>
    <s v="Self-employed"/>
    <s v="£20,001–£35,000"/>
    <x v="2"/>
    <x v="8"/>
    <x v="8"/>
    <x v="8"/>
    <s v="No"/>
    <x v="0"/>
    <s v="Yes"/>
    <s v="No"/>
    <x v="0"/>
    <s v="No"/>
    <s v="Yes"/>
    <x v="0"/>
    <s v="No"/>
    <x v="1"/>
    <x v="0"/>
    <x v="0"/>
    <x v="0"/>
  </r>
  <r>
    <x v="1"/>
    <n v="35"/>
    <x v="1"/>
    <s v="Primary school"/>
    <s v="Retired"/>
    <s v="£35,001–£50,000"/>
    <x v="2"/>
    <x v="9"/>
    <x v="9"/>
    <x v="9"/>
    <s v="No"/>
    <x v="0"/>
    <s v="Yes"/>
    <s v="No"/>
    <x v="0"/>
    <s v="No"/>
    <s v="No"/>
    <x v="0"/>
    <s v="No"/>
    <x v="0"/>
    <x v="1"/>
    <x v="0"/>
    <x v="1"/>
  </r>
  <r>
    <x v="1"/>
    <n v="35"/>
    <x v="1"/>
    <s v="Vocational / NVQ"/>
    <s v="Homemaker"/>
    <s v="£20,001–£35,000"/>
    <x v="2"/>
    <x v="10"/>
    <x v="10"/>
    <x v="10"/>
    <s v="No"/>
    <x v="0"/>
    <s v="Yes"/>
    <s v="No"/>
    <x v="0"/>
    <s v="No"/>
    <s v="No"/>
    <x v="0"/>
    <s v="No"/>
    <x v="1"/>
    <x v="1"/>
    <x v="0"/>
    <x v="0"/>
  </r>
  <r>
    <x v="1"/>
    <n v="35"/>
    <x v="1"/>
    <s v="Sixth form / A-levels"/>
    <s v="Manual / Trade worker"/>
    <s v="£20,001–£35,000"/>
    <x v="2"/>
    <x v="7"/>
    <x v="11"/>
    <x v="11"/>
    <s v="No"/>
    <x v="0"/>
    <s v="Yes"/>
    <s v="No"/>
    <x v="0"/>
    <s v="No"/>
    <s v="No"/>
    <x v="0"/>
    <s v="No"/>
    <x v="1"/>
    <x v="0"/>
    <x v="0"/>
    <x v="0"/>
  </r>
  <r>
    <x v="1"/>
    <n v="35"/>
    <x v="1"/>
    <s v="Bachelor's degree"/>
    <s v="Homemaker"/>
    <s v="Under £20,000"/>
    <x v="0"/>
    <x v="11"/>
    <x v="12"/>
    <x v="7"/>
    <s v="No"/>
    <x v="0"/>
    <s v="Yes"/>
    <s v="No"/>
    <x v="0"/>
    <s v="No"/>
    <s v="No"/>
    <x v="0"/>
    <s v="No"/>
    <x v="1"/>
    <x v="0"/>
    <x v="1"/>
    <x v="0"/>
  </r>
  <r>
    <x v="1"/>
    <n v="35"/>
    <x v="0"/>
    <s v="Primary school"/>
    <s v="Homemaker"/>
    <s v="Under £20,000"/>
    <x v="0"/>
    <x v="12"/>
    <x v="13"/>
    <x v="12"/>
    <s v="No"/>
    <x v="0"/>
    <s v="No"/>
    <s v="Yes"/>
    <x v="0"/>
    <s v="No"/>
    <s v="No"/>
    <x v="0"/>
    <s v="No"/>
    <x v="1"/>
    <x v="1"/>
    <x v="1"/>
    <x v="0"/>
  </r>
  <r>
    <x v="1"/>
    <n v="35"/>
    <x v="1"/>
    <s v="Bachelor's degree"/>
    <s v="Self-employed"/>
    <s v="£20,001–£35,000"/>
    <x v="0"/>
    <x v="13"/>
    <x v="14"/>
    <x v="13"/>
    <s v="No"/>
    <x v="0"/>
    <s v="Yes"/>
    <s v="No"/>
    <x v="0"/>
    <s v="No"/>
    <s v="No"/>
    <x v="0"/>
    <s v="No"/>
    <x v="1"/>
    <x v="0"/>
    <x v="0"/>
    <x v="1"/>
  </r>
  <r>
    <x v="1"/>
    <n v="36"/>
    <x v="1"/>
    <s v="Bachelor's degree"/>
    <s v="Employed (services)"/>
    <s v="£20,001–£35,000"/>
    <x v="0"/>
    <x v="14"/>
    <x v="5"/>
    <x v="0"/>
    <s v="No"/>
    <x v="0"/>
    <s v="Yes"/>
    <s v="No"/>
    <x v="0"/>
    <s v="No"/>
    <s v="No"/>
    <x v="0"/>
    <s v="No"/>
    <x v="1"/>
    <x v="0"/>
    <x v="0"/>
    <x v="0"/>
  </r>
  <r>
    <x v="1"/>
    <n v="37"/>
    <x v="1"/>
    <s v="Sixth form / A-levels"/>
    <s v="Employed (services)"/>
    <s v="Under £20,000"/>
    <x v="1"/>
    <x v="15"/>
    <x v="15"/>
    <x v="13"/>
    <s v="Yes"/>
    <x v="0"/>
    <s v="Yes"/>
    <s v="No"/>
    <x v="0"/>
    <s v="No"/>
    <s v="Yes"/>
    <x v="0"/>
    <s v="No"/>
    <x v="1"/>
    <x v="1"/>
    <x v="0"/>
    <x v="1"/>
  </r>
  <r>
    <x v="1"/>
    <n v="37"/>
    <x v="0"/>
    <s v="Primary school"/>
    <s v="Employed (services)"/>
    <s v="Under £20,000"/>
    <x v="1"/>
    <x v="16"/>
    <x v="16"/>
    <x v="14"/>
    <s v="No"/>
    <x v="0"/>
    <s v="Yes"/>
    <s v="No"/>
    <x v="0"/>
    <s v="No"/>
    <s v="No"/>
    <x v="0"/>
    <s v="No"/>
    <x v="1"/>
    <x v="0"/>
    <x v="0"/>
    <x v="1"/>
  </r>
  <r>
    <x v="1"/>
    <n v="37"/>
    <x v="0"/>
    <s v="Bachelor's degree"/>
    <s v="Manual / Trade worker"/>
    <s v="Under £20,000"/>
    <x v="2"/>
    <x v="17"/>
    <x v="17"/>
    <x v="11"/>
    <s v="No"/>
    <x v="0"/>
    <s v="Yes"/>
    <s v="No"/>
    <x v="0"/>
    <s v="No"/>
    <s v="No"/>
    <x v="0"/>
    <s v="No"/>
    <x v="0"/>
    <x v="0"/>
    <x v="0"/>
    <x v="0"/>
  </r>
  <r>
    <x v="1"/>
    <n v="38"/>
    <x v="0"/>
    <s v="Secondary school (GCSE)"/>
    <s v="Retired"/>
    <s v="Under £20,000"/>
    <x v="1"/>
    <x v="18"/>
    <x v="18"/>
    <x v="2"/>
    <s v="No"/>
    <x v="0"/>
    <s v="Yes"/>
    <s v="No"/>
    <x v="0"/>
    <s v="No"/>
    <s v="No"/>
    <x v="0"/>
    <s v="No"/>
    <x v="1"/>
    <x v="0"/>
    <x v="1"/>
    <x v="1"/>
  </r>
  <r>
    <x v="1"/>
    <n v="38"/>
    <x v="0"/>
    <s v="Sixth form / A-levels"/>
    <s v="Homemaker"/>
    <s v="Under £20,000"/>
    <x v="0"/>
    <x v="19"/>
    <x v="8"/>
    <x v="0"/>
    <s v="No"/>
    <x v="0"/>
    <s v="Yes"/>
    <s v="No"/>
    <x v="0"/>
    <s v="No"/>
    <s v="No"/>
    <x v="0"/>
    <s v="No"/>
    <x v="1"/>
    <x v="0"/>
    <x v="0"/>
    <x v="1"/>
  </r>
  <r>
    <x v="1"/>
    <n v="38"/>
    <x v="0"/>
    <s v="Secondary school (GCSE)"/>
    <s v="Homemaker"/>
    <s v="£20,001–£35,000"/>
    <x v="1"/>
    <x v="20"/>
    <x v="19"/>
    <x v="2"/>
    <s v="No"/>
    <x v="0"/>
    <s v="Yes"/>
    <s v="Yes"/>
    <x v="0"/>
    <s v="No"/>
    <s v="No"/>
    <x v="0"/>
    <s v="No"/>
    <x v="1"/>
    <x v="1"/>
    <x v="0"/>
    <x v="0"/>
  </r>
  <r>
    <x v="1"/>
    <n v="38"/>
    <x v="1"/>
    <s v="Secondary school (GCSE)"/>
    <s v="Retired"/>
    <s v="Over £50,000"/>
    <x v="0"/>
    <x v="13"/>
    <x v="9"/>
    <x v="14"/>
    <s v="No"/>
    <x v="0"/>
    <s v="Yes"/>
    <s v="No"/>
    <x v="0"/>
    <s v="No"/>
    <s v="Yes"/>
    <x v="1"/>
    <s v="No"/>
    <x v="1"/>
    <x v="0"/>
    <x v="1"/>
    <x v="0"/>
  </r>
  <r>
    <x v="1"/>
    <n v="39"/>
    <x v="1"/>
    <s v="Primary school"/>
    <s v="Self-employed"/>
    <s v="£35,001–£50,000"/>
    <x v="1"/>
    <x v="21"/>
    <x v="20"/>
    <x v="15"/>
    <s v="No"/>
    <x v="0"/>
    <s v="Yes"/>
    <s v="No"/>
    <x v="0"/>
    <s v="No"/>
    <s v="Yes"/>
    <x v="0"/>
    <s v="No"/>
    <x v="0"/>
    <x v="1"/>
    <x v="0"/>
    <x v="0"/>
  </r>
  <r>
    <x v="1"/>
    <n v="39"/>
    <x v="0"/>
    <s v="Bachelor's degree"/>
    <s v="Homemaker"/>
    <s v="£20,001–£35,000"/>
    <x v="1"/>
    <x v="22"/>
    <x v="3"/>
    <x v="13"/>
    <s v="Yes"/>
    <x v="0"/>
    <s v="Yes"/>
    <s v="No"/>
    <x v="0"/>
    <s v="No"/>
    <s v="No"/>
    <x v="0"/>
    <s v="No"/>
    <x v="1"/>
    <x v="0"/>
    <x v="0"/>
    <x v="0"/>
  </r>
  <r>
    <x v="1"/>
    <n v="39"/>
    <x v="1"/>
    <s v="No formal education"/>
    <s v="Self-employed"/>
    <s v="£35,001–£50,000"/>
    <x v="0"/>
    <x v="14"/>
    <x v="21"/>
    <x v="16"/>
    <s v="No"/>
    <x v="0"/>
    <s v="No"/>
    <s v="No"/>
    <x v="0"/>
    <s v="No"/>
    <s v="Yes"/>
    <x v="0"/>
    <s v="No"/>
    <x v="1"/>
    <x v="0"/>
    <x v="1"/>
    <x v="1"/>
  </r>
  <r>
    <x v="1"/>
    <n v="39"/>
    <x v="0"/>
    <s v="Primary school"/>
    <s v="Employed (services)"/>
    <s v="£20,001–£35,000"/>
    <x v="1"/>
    <x v="23"/>
    <x v="22"/>
    <x v="17"/>
    <s v="No"/>
    <x v="0"/>
    <s v="No"/>
    <s v="No"/>
    <x v="0"/>
    <s v="No"/>
    <s v="No"/>
    <x v="0"/>
    <s v="No"/>
    <x v="0"/>
    <x v="0"/>
    <x v="1"/>
    <x v="1"/>
  </r>
  <r>
    <x v="1"/>
    <n v="40"/>
    <x v="0"/>
    <s v="Bachelor's degree"/>
    <s v="Self-employed"/>
    <s v="£20,001–£35,000"/>
    <x v="0"/>
    <x v="12"/>
    <x v="3"/>
    <x v="13"/>
    <s v="No"/>
    <x v="0"/>
    <s v="Yes"/>
    <s v="No"/>
    <x v="0"/>
    <s v="No"/>
    <s v="No"/>
    <x v="0"/>
    <s v="No"/>
    <x v="1"/>
    <x v="0"/>
    <x v="0"/>
    <x v="1"/>
  </r>
  <r>
    <x v="1"/>
    <n v="40"/>
    <x v="0"/>
    <s v="Postgraduate degree"/>
    <s v="Homemaker"/>
    <s v="Under £20,000"/>
    <x v="1"/>
    <x v="24"/>
    <x v="10"/>
    <x v="16"/>
    <s v="No"/>
    <x v="0"/>
    <s v="No"/>
    <s v="No"/>
    <x v="0"/>
    <s v="No"/>
    <s v="No"/>
    <x v="0"/>
    <s v="No"/>
    <x v="0"/>
    <x v="0"/>
    <x v="0"/>
    <x v="1"/>
  </r>
  <r>
    <x v="1"/>
    <n v="40"/>
    <x v="0"/>
    <s v="Primary school"/>
    <s v="Homemaker"/>
    <s v="£35,001–£50,000"/>
    <x v="0"/>
    <x v="25"/>
    <x v="23"/>
    <x v="13"/>
    <s v="No"/>
    <x v="0"/>
    <s v="Yes"/>
    <s v="No"/>
    <x v="0"/>
    <s v="No"/>
    <s v="Yes"/>
    <x v="0"/>
    <s v="No"/>
    <x v="0"/>
    <x v="0"/>
    <x v="0"/>
    <x v="0"/>
  </r>
  <r>
    <x v="1"/>
    <n v="41"/>
    <x v="1"/>
    <s v="Bachelor's degree"/>
    <s v="Self-employed"/>
    <s v="Under £20,000"/>
    <x v="2"/>
    <x v="26"/>
    <x v="24"/>
    <x v="18"/>
    <s v="No"/>
    <x v="0"/>
    <s v="Yes"/>
    <s v="No"/>
    <x v="0"/>
    <s v="No"/>
    <s v="No"/>
    <x v="0"/>
    <s v="No"/>
    <x v="1"/>
    <x v="0"/>
    <x v="0"/>
    <x v="1"/>
  </r>
  <r>
    <x v="1"/>
    <n v="41"/>
    <x v="0"/>
    <s v="No formal education"/>
    <s v="Homemaker"/>
    <s v="£20,001–£35,000"/>
    <x v="0"/>
    <x v="27"/>
    <x v="1"/>
    <x v="19"/>
    <s v="Yes"/>
    <x v="0"/>
    <s v="Yes"/>
    <s v="No"/>
    <x v="1"/>
    <s v="No"/>
    <s v="Yes"/>
    <x v="0"/>
    <s v="No"/>
    <x v="0"/>
    <x v="0"/>
    <x v="0"/>
    <x v="0"/>
  </r>
  <r>
    <x v="1"/>
    <n v="41"/>
    <x v="1"/>
    <s v="Secondary school (GCSE)"/>
    <s v="Employed (services)"/>
    <s v="£20,001–£35,000"/>
    <x v="0"/>
    <x v="28"/>
    <x v="25"/>
    <x v="19"/>
    <s v="No"/>
    <x v="0"/>
    <s v="No"/>
    <s v="No"/>
    <x v="0"/>
    <s v="No"/>
    <s v="Yes"/>
    <x v="0"/>
    <s v="No"/>
    <x v="1"/>
    <x v="0"/>
    <x v="0"/>
    <x v="0"/>
  </r>
  <r>
    <x v="1"/>
    <n v="41"/>
    <x v="1"/>
    <s v="Secondary school (GCSE)"/>
    <s v="Unemployed"/>
    <s v="£20,001–£35,000"/>
    <x v="2"/>
    <x v="29"/>
    <x v="26"/>
    <x v="8"/>
    <s v="No"/>
    <x v="0"/>
    <s v="No"/>
    <s v="No"/>
    <x v="1"/>
    <s v="No"/>
    <s v="No"/>
    <x v="0"/>
    <s v="No"/>
    <x v="1"/>
    <x v="0"/>
    <x v="0"/>
    <x v="0"/>
  </r>
  <r>
    <x v="1"/>
    <n v="43"/>
    <x v="1"/>
    <s v="Postgraduate degree"/>
    <s v="Employed (services)"/>
    <s v="£20,001–£35,000"/>
    <x v="0"/>
    <x v="30"/>
    <x v="27"/>
    <x v="5"/>
    <s v="Yes"/>
    <x v="0"/>
    <s v="Yes"/>
    <s v="No"/>
    <x v="1"/>
    <s v="No"/>
    <s v="Yes"/>
    <x v="0"/>
    <s v="No"/>
    <x v="0"/>
    <x v="0"/>
    <x v="0"/>
    <x v="0"/>
  </r>
  <r>
    <x v="1"/>
    <n v="43"/>
    <x v="1"/>
    <s v="Bachelor's degree"/>
    <s v="Manual / Trade worker"/>
    <s v="Under £20,000"/>
    <x v="2"/>
    <x v="31"/>
    <x v="6"/>
    <x v="20"/>
    <s v="No"/>
    <x v="0"/>
    <s v="Yes"/>
    <s v="No"/>
    <x v="0"/>
    <s v="No"/>
    <s v="No"/>
    <x v="1"/>
    <s v="No"/>
    <x v="0"/>
    <x v="1"/>
    <x v="0"/>
    <x v="0"/>
  </r>
  <r>
    <x v="1"/>
    <n v="43"/>
    <x v="0"/>
    <s v="Primary school"/>
    <s v="Retired"/>
    <s v="Under £20,000"/>
    <x v="2"/>
    <x v="32"/>
    <x v="13"/>
    <x v="9"/>
    <s v="No"/>
    <x v="0"/>
    <s v="Yes"/>
    <s v="No"/>
    <x v="0"/>
    <s v="No"/>
    <s v="No"/>
    <x v="1"/>
    <s v="No"/>
    <x v="0"/>
    <x v="1"/>
    <x v="0"/>
    <x v="1"/>
  </r>
  <r>
    <x v="1"/>
    <n v="44"/>
    <x v="1"/>
    <s v="Sixth form / A-levels"/>
    <s v="Employed (services)"/>
    <s v="Under £20,000"/>
    <x v="1"/>
    <x v="22"/>
    <x v="7"/>
    <x v="11"/>
    <s v="Yes"/>
    <x v="0"/>
    <s v="Yes"/>
    <s v="No"/>
    <x v="0"/>
    <s v="Yes"/>
    <s v="No"/>
    <x v="0"/>
    <s v="No"/>
    <x v="1"/>
    <x v="1"/>
    <x v="0"/>
    <x v="1"/>
  </r>
  <r>
    <x v="1"/>
    <n v="44"/>
    <x v="0"/>
    <s v="No formal education"/>
    <s v="Self-employed"/>
    <s v="Over £50,000"/>
    <x v="0"/>
    <x v="33"/>
    <x v="15"/>
    <x v="11"/>
    <s v="No"/>
    <x v="0"/>
    <s v="Yes"/>
    <s v="No"/>
    <x v="0"/>
    <s v="No"/>
    <s v="Yes"/>
    <x v="0"/>
    <s v="No"/>
    <x v="1"/>
    <x v="0"/>
    <x v="0"/>
    <x v="1"/>
  </r>
  <r>
    <x v="1"/>
    <n v="44"/>
    <x v="1"/>
    <s v="No formal education"/>
    <s v="Retired"/>
    <s v="£20,001–£35,000"/>
    <x v="1"/>
    <x v="34"/>
    <x v="25"/>
    <x v="17"/>
    <s v="No"/>
    <x v="0"/>
    <s v="Yes"/>
    <s v="No"/>
    <x v="0"/>
    <s v="No"/>
    <s v="No"/>
    <x v="0"/>
    <s v="No"/>
    <x v="1"/>
    <x v="0"/>
    <x v="1"/>
    <x v="1"/>
  </r>
  <r>
    <x v="1"/>
    <n v="44"/>
    <x v="1"/>
    <s v="Primary school"/>
    <s v="Manual / Trade worker"/>
    <s v="Over £50,000"/>
    <x v="1"/>
    <x v="1"/>
    <x v="28"/>
    <x v="16"/>
    <s v="Yes"/>
    <x v="0"/>
    <s v="No"/>
    <s v="No"/>
    <x v="1"/>
    <s v="No"/>
    <s v="No"/>
    <x v="0"/>
    <s v="No"/>
    <x v="1"/>
    <x v="1"/>
    <x v="1"/>
    <x v="0"/>
  </r>
  <r>
    <x v="1"/>
    <n v="44"/>
    <x v="1"/>
    <s v="Sixth form / A-levels"/>
    <s v="Homemaker"/>
    <s v="£20,001–£35,000"/>
    <x v="1"/>
    <x v="23"/>
    <x v="29"/>
    <x v="0"/>
    <s v="No"/>
    <x v="0"/>
    <s v="Yes"/>
    <s v="No"/>
    <x v="0"/>
    <s v="No"/>
    <s v="No"/>
    <x v="0"/>
    <s v="No"/>
    <x v="1"/>
    <x v="1"/>
    <x v="0"/>
    <x v="0"/>
  </r>
  <r>
    <x v="1"/>
    <n v="44"/>
    <x v="1"/>
    <s v="Secondary school (GCSE)"/>
    <s v="Self-employed"/>
    <s v="£20,001–£35,000"/>
    <x v="0"/>
    <x v="35"/>
    <x v="30"/>
    <x v="19"/>
    <s v="No"/>
    <x v="0"/>
    <s v="Yes"/>
    <s v="No"/>
    <x v="0"/>
    <s v="No"/>
    <s v="No"/>
    <x v="0"/>
    <s v="No"/>
    <x v="1"/>
    <x v="0"/>
    <x v="1"/>
    <x v="0"/>
  </r>
  <r>
    <x v="2"/>
    <n v="45"/>
    <x v="0"/>
    <s v="Postgraduate degree"/>
    <s v="Homemaker"/>
    <s v="Under £20,000"/>
    <x v="2"/>
    <x v="36"/>
    <x v="7"/>
    <x v="21"/>
    <s v="No"/>
    <x v="0"/>
    <s v="Yes"/>
    <s v="No"/>
    <x v="0"/>
    <s v="No"/>
    <s v="No"/>
    <x v="0"/>
    <s v="No"/>
    <x v="1"/>
    <x v="0"/>
    <x v="0"/>
    <x v="1"/>
  </r>
  <r>
    <x v="2"/>
    <n v="45"/>
    <x v="0"/>
    <s v="Secondary school (GCSE)"/>
    <s v="Homemaker"/>
    <s v="Under £20,000"/>
    <x v="0"/>
    <x v="14"/>
    <x v="31"/>
    <x v="22"/>
    <s v="No"/>
    <x v="0"/>
    <s v="Yes"/>
    <s v="No"/>
    <x v="0"/>
    <s v="No"/>
    <s v="No"/>
    <x v="1"/>
    <s v="No"/>
    <x v="1"/>
    <x v="0"/>
    <x v="1"/>
    <x v="0"/>
  </r>
  <r>
    <x v="2"/>
    <n v="46"/>
    <x v="0"/>
    <s v="Primary school"/>
    <s v="Homemaker"/>
    <s v="£20,001–£35,000"/>
    <x v="1"/>
    <x v="22"/>
    <x v="11"/>
    <x v="21"/>
    <s v="No"/>
    <x v="0"/>
    <s v="Yes"/>
    <s v="No"/>
    <x v="0"/>
    <s v="No"/>
    <s v="No"/>
    <x v="0"/>
    <s v="Yes"/>
    <x v="1"/>
    <x v="0"/>
    <x v="0"/>
    <x v="0"/>
  </r>
  <r>
    <x v="2"/>
    <n v="46"/>
    <x v="0"/>
    <s v="Primary school"/>
    <s v="Self-employed"/>
    <s v="Under £20,000"/>
    <x v="1"/>
    <x v="18"/>
    <x v="19"/>
    <x v="23"/>
    <s v="Yes"/>
    <x v="0"/>
    <s v="Yes"/>
    <s v="No"/>
    <x v="0"/>
    <s v="No"/>
    <s v="No"/>
    <x v="1"/>
    <s v="No"/>
    <x v="1"/>
    <x v="0"/>
    <x v="0"/>
    <x v="1"/>
  </r>
  <r>
    <x v="2"/>
    <n v="48"/>
    <x v="0"/>
    <s v="Primary school"/>
    <s v="Self-employed"/>
    <s v="£35,001–£50,000"/>
    <x v="1"/>
    <x v="37"/>
    <x v="32"/>
    <x v="24"/>
    <s v="No"/>
    <x v="0"/>
    <s v="Yes"/>
    <s v="No"/>
    <x v="0"/>
    <s v="No"/>
    <s v="No"/>
    <x v="0"/>
    <s v="No"/>
    <x v="1"/>
    <x v="0"/>
    <x v="0"/>
    <x v="0"/>
  </r>
  <r>
    <x v="2"/>
    <n v="48"/>
    <x v="1"/>
    <s v="Primary school"/>
    <s v="Employed (services)"/>
    <s v="Under £20,000"/>
    <x v="0"/>
    <x v="28"/>
    <x v="33"/>
    <x v="25"/>
    <s v="No"/>
    <x v="0"/>
    <s v="Yes"/>
    <s v="No"/>
    <x v="0"/>
    <s v="No"/>
    <s v="No"/>
    <x v="0"/>
    <s v="No"/>
    <x v="1"/>
    <x v="0"/>
    <x v="1"/>
    <x v="0"/>
  </r>
  <r>
    <x v="2"/>
    <n v="49"/>
    <x v="0"/>
    <s v="Sixth form / A-levels"/>
    <s v="Homemaker"/>
    <s v="£35,001–£50,000"/>
    <x v="1"/>
    <x v="24"/>
    <x v="5"/>
    <x v="0"/>
    <s v="No"/>
    <x v="1"/>
    <s v="Yes"/>
    <s v="Yes"/>
    <x v="1"/>
    <s v="No"/>
    <s v="No"/>
    <x v="0"/>
    <s v="No"/>
    <x v="0"/>
    <x v="0"/>
    <x v="0"/>
    <x v="0"/>
  </r>
  <r>
    <x v="2"/>
    <n v="49"/>
    <x v="1"/>
    <s v="Postgraduate degree"/>
    <s v="Employed (services)"/>
    <s v="Under £20,000"/>
    <x v="1"/>
    <x v="3"/>
    <x v="7"/>
    <x v="2"/>
    <s v="Yes"/>
    <x v="0"/>
    <s v="Yes"/>
    <s v="No"/>
    <x v="0"/>
    <s v="No"/>
    <s v="No"/>
    <x v="0"/>
    <s v="No"/>
    <x v="1"/>
    <x v="1"/>
    <x v="0"/>
    <x v="0"/>
  </r>
  <r>
    <x v="2"/>
    <n v="49"/>
    <x v="0"/>
    <s v="Postgraduate degree"/>
    <s v="Self-employed"/>
    <s v="£20,001–£35,000"/>
    <x v="1"/>
    <x v="38"/>
    <x v="34"/>
    <x v="0"/>
    <s v="No"/>
    <x v="0"/>
    <s v="No"/>
    <s v="Yes"/>
    <x v="0"/>
    <s v="No"/>
    <s v="No"/>
    <x v="0"/>
    <s v="No"/>
    <x v="1"/>
    <x v="0"/>
    <x v="0"/>
    <x v="0"/>
  </r>
  <r>
    <x v="2"/>
    <n v="50"/>
    <x v="0"/>
    <s v="Secondary school (GCSE)"/>
    <s v="Manual / Trade worker"/>
    <s v="£35,001–£50,000"/>
    <x v="1"/>
    <x v="37"/>
    <x v="3"/>
    <x v="7"/>
    <s v="No"/>
    <x v="1"/>
    <s v="Yes"/>
    <s v="No"/>
    <x v="0"/>
    <s v="No"/>
    <s v="Yes"/>
    <x v="0"/>
    <s v="No"/>
    <x v="1"/>
    <x v="0"/>
    <x v="0"/>
    <x v="0"/>
  </r>
  <r>
    <x v="2"/>
    <n v="50"/>
    <x v="1"/>
    <s v="Primary school"/>
    <s v="Manual / Trade worker"/>
    <s v="Under £20,000"/>
    <x v="0"/>
    <x v="30"/>
    <x v="18"/>
    <x v="18"/>
    <s v="No"/>
    <x v="0"/>
    <s v="No"/>
    <s v="No"/>
    <x v="0"/>
    <s v="No"/>
    <s v="No"/>
    <x v="0"/>
    <s v="No"/>
    <x v="1"/>
    <x v="0"/>
    <x v="1"/>
    <x v="0"/>
  </r>
  <r>
    <x v="2"/>
    <n v="50"/>
    <x v="0"/>
    <s v="Postgraduate degree"/>
    <s v="Homemaker"/>
    <s v="£35,001–£50,000"/>
    <x v="1"/>
    <x v="3"/>
    <x v="20"/>
    <x v="26"/>
    <s v="No"/>
    <x v="0"/>
    <s v="Yes"/>
    <s v="No"/>
    <x v="0"/>
    <s v="No"/>
    <s v="No"/>
    <x v="0"/>
    <s v="No"/>
    <x v="1"/>
    <x v="0"/>
    <x v="1"/>
    <x v="0"/>
  </r>
  <r>
    <x v="2"/>
    <n v="50"/>
    <x v="1"/>
    <s v="Secondary school (GCSE)"/>
    <s v="Homemaker"/>
    <s v="£20,001–£35,000"/>
    <x v="1"/>
    <x v="38"/>
    <x v="27"/>
    <x v="27"/>
    <s v="No"/>
    <x v="0"/>
    <s v="Yes"/>
    <s v="No"/>
    <x v="0"/>
    <s v="No"/>
    <s v="No"/>
    <x v="0"/>
    <s v="No"/>
    <x v="1"/>
    <x v="0"/>
    <x v="1"/>
    <x v="0"/>
  </r>
  <r>
    <x v="2"/>
    <n v="51"/>
    <x v="1"/>
    <s v="Primary school"/>
    <s v="Homemaker"/>
    <s v="Under £20,000"/>
    <x v="0"/>
    <x v="14"/>
    <x v="1"/>
    <x v="9"/>
    <s v="No"/>
    <x v="0"/>
    <s v="No"/>
    <s v="No"/>
    <x v="0"/>
    <s v="No"/>
    <s v="No"/>
    <x v="0"/>
    <s v="No"/>
    <x v="1"/>
    <x v="0"/>
    <x v="0"/>
    <x v="0"/>
  </r>
  <r>
    <x v="2"/>
    <n v="51"/>
    <x v="1"/>
    <s v="Primary school"/>
    <s v="Self-employed"/>
    <s v="Under £20,000"/>
    <x v="2"/>
    <x v="39"/>
    <x v="27"/>
    <x v="18"/>
    <s v="No"/>
    <x v="0"/>
    <s v="Yes"/>
    <s v="Yes"/>
    <x v="0"/>
    <s v="No"/>
    <s v="No"/>
    <x v="0"/>
    <s v="No"/>
    <x v="1"/>
    <x v="0"/>
    <x v="1"/>
    <x v="1"/>
  </r>
  <r>
    <x v="2"/>
    <n v="53"/>
    <x v="1"/>
    <s v="Bachelor's degree"/>
    <s v="Homemaker"/>
    <s v="£20,001–£35,000"/>
    <x v="2"/>
    <x v="40"/>
    <x v="14"/>
    <x v="28"/>
    <s v="No"/>
    <x v="0"/>
    <s v="Yes"/>
    <s v="No"/>
    <x v="1"/>
    <s v="No"/>
    <s v="No"/>
    <x v="0"/>
    <s v="No"/>
    <x v="1"/>
    <x v="1"/>
    <x v="0"/>
    <x v="1"/>
  </r>
  <r>
    <x v="2"/>
    <n v="53"/>
    <x v="0"/>
    <s v="Secondary school (GCSE)"/>
    <s v="Self-employed"/>
    <s v="£20,001–£35,000"/>
    <x v="0"/>
    <x v="41"/>
    <x v="24"/>
    <x v="2"/>
    <s v="No"/>
    <x v="0"/>
    <s v="Yes"/>
    <s v="No"/>
    <x v="0"/>
    <s v="No"/>
    <s v="No"/>
    <x v="0"/>
    <s v="No"/>
    <x v="1"/>
    <x v="1"/>
    <x v="0"/>
    <x v="1"/>
  </r>
  <r>
    <x v="2"/>
    <n v="54"/>
    <x v="1"/>
    <s v="Primary school"/>
    <s v="Self-employed"/>
    <s v="Over £50,000"/>
    <x v="1"/>
    <x v="34"/>
    <x v="20"/>
    <x v="9"/>
    <s v="No"/>
    <x v="0"/>
    <s v="Yes"/>
    <s v="No"/>
    <x v="1"/>
    <s v="No"/>
    <s v="No"/>
    <x v="0"/>
    <s v="No"/>
    <x v="1"/>
    <x v="1"/>
    <x v="0"/>
    <x v="0"/>
  </r>
  <r>
    <x v="2"/>
    <n v="55"/>
    <x v="0"/>
    <s v="Postgraduate degree"/>
    <s v="Employed (services)"/>
    <s v="Under £20,000"/>
    <x v="1"/>
    <x v="22"/>
    <x v="35"/>
    <x v="0"/>
    <s v="No"/>
    <x v="0"/>
    <s v="Yes"/>
    <s v="No"/>
    <x v="0"/>
    <s v="No"/>
    <s v="No"/>
    <x v="0"/>
    <s v="No"/>
    <x v="0"/>
    <x v="0"/>
    <x v="0"/>
    <x v="1"/>
  </r>
  <r>
    <x v="2"/>
    <n v="55"/>
    <x v="0"/>
    <s v="Primary school"/>
    <s v="Homemaker"/>
    <s v="Under £20,000"/>
    <x v="0"/>
    <x v="28"/>
    <x v="13"/>
    <x v="29"/>
    <s v="No"/>
    <x v="0"/>
    <s v="Yes"/>
    <s v="No"/>
    <x v="0"/>
    <s v="No"/>
    <s v="Yes"/>
    <x v="0"/>
    <s v="No"/>
    <x v="1"/>
    <x v="0"/>
    <x v="0"/>
    <x v="0"/>
  </r>
  <r>
    <x v="2"/>
    <n v="56"/>
    <x v="1"/>
    <s v="No formal education"/>
    <s v="Self-employed"/>
    <s v="£20,001–£35,000"/>
    <x v="0"/>
    <x v="4"/>
    <x v="19"/>
    <x v="7"/>
    <s v="Yes"/>
    <x v="0"/>
    <s v="No"/>
    <s v="No"/>
    <x v="0"/>
    <s v="No"/>
    <s v="No"/>
    <x v="0"/>
    <s v="No"/>
    <x v="1"/>
    <x v="0"/>
    <x v="1"/>
    <x v="1"/>
  </r>
  <r>
    <x v="2"/>
    <n v="56"/>
    <x v="0"/>
    <s v="Secondary school (GCSE)"/>
    <s v="Self-employed"/>
    <s v="Over £50,000"/>
    <x v="1"/>
    <x v="42"/>
    <x v="33"/>
    <x v="30"/>
    <s v="No"/>
    <x v="0"/>
    <s v="Yes"/>
    <s v="No"/>
    <x v="0"/>
    <s v="No"/>
    <s v="No"/>
    <x v="0"/>
    <s v="No"/>
    <x v="0"/>
    <x v="0"/>
    <x v="0"/>
    <x v="0"/>
  </r>
  <r>
    <x v="2"/>
    <n v="56"/>
    <x v="1"/>
    <s v="Secondary school (GCSE)"/>
    <s v="Homemaker"/>
    <s v="Under £20,000"/>
    <x v="1"/>
    <x v="43"/>
    <x v="6"/>
    <x v="30"/>
    <s v="No"/>
    <x v="0"/>
    <s v="Yes"/>
    <s v="No"/>
    <x v="0"/>
    <s v="No"/>
    <s v="No"/>
    <x v="0"/>
    <s v="No"/>
    <x v="1"/>
    <x v="0"/>
    <x v="0"/>
    <x v="1"/>
  </r>
  <r>
    <x v="2"/>
    <n v="57"/>
    <x v="0"/>
    <s v="Secondary school (GCSE)"/>
    <s v="Retired"/>
    <s v="£20,001–£35,000"/>
    <x v="1"/>
    <x v="44"/>
    <x v="15"/>
    <x v="18"/>
    <s v="Yes"/>
    <x v="0"/>
    <s v="No"/>
    <s v="No"/>
    <x v="1"/>
    <s v="No"/>
    <s v="No"/>
    <x v="0"/>
    <s v="No"/>
    <x v="1"/>
    <x v="0"/>
    <x v="0"/>
    <x v="0"/>
  </r>
  <r>
    <x v="2"/>
    <n v="58"/>
    <x v="1"/>
    <s v="No formal education"/>
    <s v="Employed (services)"/>
    <s v="Under £20,000"/>
    <x v="0"/>
    <x v="6"/>
    <x v="36"/>
    <x v="26"/>
    <s v="No"/>
    <x v="0"/>
    <s v="Yes"/>
    <s v="No"/>
    <x v="0"/>
    <s v="No"/>
    <s v="Yes"/>
    <x v="0"/>
    <s v="No"/>
    <x v="0"/>
    <x v="1"/>
    <x v="0"/>
    <x v="0"/>
  </r>
  <r>
    <x v="2"/>
    <n v="58"/>
    <x v="0"/>
    <s v="Secondary school (GCSE)"/>
    <s v="Employed (services)"/>
    <s v="Over £50,000"/>
    <x v="0"/>
    <x v="27"/>
    <x v="37"/>
    <x v="3"/>
    <s v="No"/>
    <x v="0"/>
    <s v="No"/>
    <s v="No"/>
    <x v="1"/>
    <s v="No"/>
    <s v="No"/>
    <x v="0"/>
    <s v="No"/>
    <x v="0"/>
    <x v="0"/>
    <x v="0"/>
    <x v="1"/>
  </r>
  <r>
    <x v="2"/>
    <n v="58"/>
    <x v="0"/>
    <s v="Primary school"/>
    <s v="Employed (services)"/>
    <s v="Under £20,000"/>
    <x v="0"/>
    <x v="28"/>
    <x v="38"/>
    <x v="3"/>
    <s v="No"/>
    <x v="0"/>
    <s v="Yes"/>
    <s v="No"/>
    <x v="0"/>
    <s v="No"/>
    <s v="No"/>
    <x v="0"/>
    <s v="No"/>
    <x v="1"/>
    <x v="0"/>
    <x v="0"/>
    <x v="0"/>
  </r>
  <r>
    <x v="2"/>
    <n v="59"/>
    <x v="0"/>
    <s v="Primary school"/>
    <s v="Manual / Trade worker"/>
    <s v="£20,001–£35,000"/>
    <x v="1"/>
    <x v="15"/>
    <x v="39"/>
    <x v="23"/>
    <s v="Yes"/>
    <x v="0"/>
    <s v="No"/>
    <s v="No"/>
    <x v="0"/>
    <s v="No"/>
    <s v="No"/>
    <x v="0"/>
    <s v="No"/>
    <x v="1"/>
    <x v="0"/>
    <x v="0"/>
    <x v="0"/>
  </r>
  <r>
    <x v="2"/>
    <n v="59"/>
    <x v="1"/>
    <s v="Postgraduate degree"/>
    <s v="Manual / Trade worker"/>
    <s v="Under £20,000"/>
    <x v="1"/>
    <x v="42"/>
    <x v="2"/>
    <x v="31"/>
    <s v="No"/>
    <x v="0"/>
    <s v="Yes"/>
    <s v="No"/>
    <x v="0"/>
    <s v="No"/>
    <s v="No"/>
    <x v="0"/>
    <s v="No"/>
    <x v="0"/>
    <x v="0"/>
    <x v="0"/>
    <x v="0"/>
  </r>
  <r>
    <x v="2"/>
    <n v="59"/>
    <x v="0"/>
    <s v="Secondary school (GCSE)"/>
    <s v="Self-employed"/>
    <s v="£35,001–£50,000"/>
    <x v="0"/>
    <x v="45"/>
    <x v="40"/>
    <x v="32"/>
    <s v="No"/>
    <x v="0"/>
    <s v="Yes"/>
    <s v="No"/>
    <x v="0"/>
    <s v="No"/>
    <s v="No"/>
    <x v="0"/>
    <s v="No"/>
    <x v="0"/>
    <x v="1"/>
    <x v="0"/>
    <x v="1"/>
  </r>
  <r>
    <x v="2"/>
    <n v="60"/>
    <x v="1"/>
    <s v="Bachelor's degree"/>
    <s v="Retired"/>
    <s v="Under £20,000"/>
    <x v="0"/>
    <x v="33"/>
    <x v="41"/>
    <x v="5"/>
    <s v="No"/>
    <x v="0"/>
    <s v="Yes"/>
    <s v="No"/>
    <x v="0"/>
    <s v="No"/>
    <s v="No"/>
    <x v="0"/>
    <s v="No"/>
    <x v="1"/>
    <x v="0"/>
    <x v="0"/>
    <x v="0"/>
  </r>
  <r>
    <x v="2"/>
    <n v="60"/>
    <x v="1"/>
    <s v="Sixth form / A-levels"/>
    <s v="Homemaker"/>
    <s v="Under £20,000"/>
    <x v="0"/>
    <x v="0"/>
    <x v="20"/>
    <x v="9"/>
    <s v="No"/>
    <x v="0"/>
    <s v="Yes"/>
    <s v="No"/>
    <x v="0"/>
    <s v="No"/>
    <s v="No"/>
    <x v="0"/>
    <s v="No"/>
    <x v="1"/>
    <x v="0"/>
    <x v="0"/>
    <x v="1"/>
  </r>
  <r>
    <x v="2"/>
    <n v="61"/>
    <x v="1"/>
    <s v="No formal education"/>
    <s v="Employed (services)"/>
    <s v="£20,001–£35,000"/>
    <x v="2"/>
    <x v="46"/>
    <x v="3"/>
    <x v="26"/>
    <s v="No"/>
    <x v="0"/>
    <s v="Yes"/>
    <s v="No"/>
    <x v="0"/>
    <s v="No"/>
    <s v="Yes"/>
    <x v="0"/>
    <s v="No"/>
    <x v="1"/>
    <x v="1"/>
    <x v="0"/>
    <x v="1"/>
  </r>
  <r>
    <x v="2"/>
    <n v="61"/>
    <x v="1"/>
    <s v="Bachelor's degree"/>
    <s v="Retired"/>
    <s v="£20,001–£35,000"/>
    <x v="0"/>
    <x v="45"/>
    <x v="25"/>
    <x v="18"/>
    <s v="No"/>
    <x v="0"/>
    <s v="No"/>
    <s v="No"/>
    <x v="0"/>
    <s v="No"/>
    <s v="No"/>
    <x v="0"/>
    <s v="No"/>
    <x v="1"/>
    <x v="1"/>
    <x v="0"/>
    <x v="1"/>
  </r>
  <r>
    <x v="2"/>
    <n v="62"/>
    <x v="1"/>
    <s v="Primary school"/>
    <s v="Homemaker"/>
    <s v="£20,001–£35,000"/>
    <x v="2"/>
    <x v="26"/>
    <x v="0"/>
    <x v="16"/>
    <s v="No"/>
    <x v="0"/>
    <s v="Yes"/>
    <s v="No"/>
    <x v="0"/>
    <s v="No"/>
    <s v="Yes"/>
    <x v="0"/>
    <s v="No"/>
    <x v="0"/>
    <x v="0"/>
    <x v="0"/>
    <x v="1"/>
  </r>
  <r>
    <x v="2"/>
    <n v="62"/>
    <x v="1"/>
    <s v="Bachelor's degree"/>
    <s v="Self-employed"/>
    <s v="Under £20,000"/>
    <x v="1"/>
    <x v="20"/>
    <x v="0"/>
    <x v="28"/>
    <s v="No"/>
    <x v="0"/>
    <s v="Yes"/>
    <s v="No"/>
    <x v="0"/>
    <s v="No"/>
    <s v="No"/>
    <x v="1"/>
    <s v="No"/>
    <x v="1"/>
    <x v="1"/>
    <x v="1"/>
    <x v="1"/>
  </r>
  <r>
    <x v="2"/>
    <n v="62"/>
    <x v="1"/>
    <s v="No formal education"/>
    <s v="Employed (services)"/>
    <s v="Under £20,000"/>
    <x v="1"/>
    <x v="47"/>
    <x v="42"/>
    <x v="28"/>
    <s v="No"/>
    <x v="0"/>
    <s v="Yes"/>
    <s v="No"/>
    <x v="0"/>
    <s v="No"/>
    <s v="No"/>
    <x v="0"/>
    <s v="No"/>
    <x v="1"/>
    <x v="0"/>
    <x v="0"/>
    <x v="1"/>
  </r>
  <r>
    <x v="2"/>
    <n v="62"/>
    <x v="1"/>
    <s v="Primary school"/>
    <s v="Homemaker"/>
    <s v="Under £20,000"/>
    <x v="2"/>
    <x v="39"/>
    <x v="43"/>
    <x v="5"/>
    <s v="No"/>
    <x v="0"/>
    <s v="Yes"/>
    <s v="No"/>
    <x v="0"/>
    <s v="No"/>
    <s v="Yes"/>
    <x v="0"/>
    <s v="No"/>
    <x v="1"/>
    <x v="0"/>
    <x v="0"/>
    <x v="1"/>
  </r>
  <r>
    <x v="2"/>
    <n v="62"/>
    <x v="1"/>
    <s v="Primary school"/>
    <s v="Retired"/>
    <s v="£20,001–£35,000"/>
    <x v="2"/>
    <x v="40"/>
    <x v="6"/>
    <x v="8"/>
    <s v="No"/>
    <x v="0"/>
    <s v="Yes"/>
    <s v="Yes"/>
    <x v="0"/>
    <s v="No"/>
    <s v="No"/>
    <x v="0"/>
    <s v="No"/>
    <x v="1"/>
    <x v="0"/>
    <x v="0"/>
    <x v="1"/>
  </r>
  <r>
    <x v="2"/>
    <n v="64"/>
    <x v="0"/>
    <s v="Primary school"/>
    <s v="Manual / Trade worker"/>
    <s v="Under £20,000"/>
    <x v="1"/>
    <x v="48"/>
    <x v="5"/>
    <x v="33"/>
    <s v="No"/>
    <x v="0"/>
    <s v="No"/>
    <s v="No"/>
    <x v="0"/>
    <s v="No"/>
    <s v="No"/>
    <x v="0"/>
    <s v="No"/>
    <x v="0"/>
    <x v="1"/>
    <x v="0"/>
    <x v="1"/>
  </r>
  <r>
    <x v="2"/>
    <n v="65"/>
    <x v="1"/>
    <s v="Primary school"/>
    <s v="Homemaker"/>
    <s v="Under £20,000"/>
    <x v="2"/>
    <x v="49"/>
    <x v="20"/>
    <x v="23"/>
    <s v="No"/>
    <x v="0"/>
    <s v="No"/>
    <s v="No"/>
    <x v="0"/>
    <s v="No"/>
    <s v="No"/>
    <x v="0"/>
    <s v="No"/>
    <x v="1"/>
    <x v="1"/>
    <x v="1"/>
    <x v="0"/>
  </r>
  <r>
    <x v="2"/>
    <n v="65"/>
    <x v="0"/>
    <s v="Primary school"/>
    <s v="Employed (services)"/>
    <s v="Over £50,000"/>
    <x v="0"/>
    <x v="50"/>
    <x v="6"/>
    <x v="28"/>
    <s v="No"/>
    <x v="0"/>
    <s v="Yes"/>
    <s v="No"/>
    <x v="0"/>
    <s v="No"/>
    <s v="No"/>
    <x v="0"/>
    <s v="No"/>
    <x v="1"/>
    <x v="0"/>
    <x v="0"/>
    <x v="0"/>
  </r>
  <r>
    <x v="2"/>
    <n v="65"/>
    <x v="0"/>
    <s v="No formal education"/>
    <s v="Employed (services)"/>
    <s v="Under £20,000"/>
    <x v="1"/>
    <x v="42"/>
    <x v="26"/>
    <x v="17"/>
    <s v="No"/>
    <x v="0"/>
    <s v="Yes"/>
    <s v="No"/>
    <x v="0"/>
    <s v="No"/>
    <s v="No"/>
    <x v="1"/>
    <s v="No"/>
    <x v="1"/>
    <x v="0"/>
    <x v="0"/>
    <x v="0"/>
  </r>
  <r>
    <x v="2"/>
    <n v="65"/>
    <x v="0"/>
    <s v="Secondary school (GCSE)"/>
    <s v="Homemaker"/>
    <s v="Under £20,000"/>
    <x v="0"/>
    <x v="45"/>
    <x v="22"/>
    <x v="11"/>
    <s v="No"/>
    <x v="0"/>
    <s v="Yes"/>
    <s v="No"/>
    <x v="0"/>
    <s v="No"/>
    <s v="No"/>
    <x v="0"/>
    <s v="No"/>
    <x v="1"/>
    <x v="0"/>
    <x v="1"/>
    <x v="1"/>
  </r>
  <r>
    <x v="2"/>
    <n v="65"/>
    <x v="0"/>
    <s v="Secondary school (GCSE)"/>
    <s v="Homemaker"/>
    <s v="£20,001–£35,000"/>
    <x v="1"/>
    <x v="47"/>
    <x v="44"/>
    <x v="26"/>
    <s v="No"/>
    <x v="0"/>
    <s v="Yes"/>
    <s v="No"/>
    <x v="0"/>
    <s v="No"/>
    <s v="No"/>
    <x v="0"/>
    <s v="No"/>
    <x v="0"/>
    <x v="0"/>
    <x v="1"/>
    <x v="0"/>
  </r>
  <r>
    <x v="2"/>
    <n v="66"/>
    <x v="1"/>
    <s v="No formal education"/>
    <s v="Homemaker"/>
    <s v="Under £20,000"/>
    <x v="1"/>
    <x v="42"/>
    <x v="25"/>
    <x v="33"/>
    <s v="Yes"/>
    <x v="1"/>
    <s v="Yes"/>
    <s v="No"/>
    <x v="0"/>
    <s v="No"/>
    <s v="No"/>
    <x v="1"/>
    <s v="No"/>
    <x v="1"/>
    <x v="0"/>
    <x v="0"/>
    <x v="0"/>
  </r>
  <r>
    <x v="2"/>
    <n v="66"/>
    <x v="0"/>
    <s v="Secondary school (GCSE)"/>
    <s v="Manual / Trade worker"/>
    <s v="£20,001–£35,000"/>
    <x v="1"/>
    <x v="34"/>
    <x v="45"/>
    <x v="24"/>
    <s v="No"/>
    <x v="0"/>
    <s v="Yes"/>
    <s v="No"/>
    <x v="0"/>
    <s v="No"/>
    <s v="No"/>
    <x v="0"/>
    <s v="No"/>
    <x v="1"/>
    <x v="0"/>
    <x v="0"/>
    <x v="0"/>
  </r>
  <r>
    <x v="2"/>
    <n v="66"/>
    <x v="1"/>
    <s v="Sixth form / A-levels"/>
    <s v="Retired"/>
    <s v="£20,001–£35,000"/>
    <x v="1"/>
    <x v="15"/>
    <x v="40"/>
    <x v="34"/>
    <s v="No"/>
    <x v="0"/>
    <s v="Yes"/>
    <s v="No"/>
    <x v="0"/>
    <s v="No"/>
    <s v="Yes"/>
    <x v="0"/>
    <s v="No"/>
    <x v="1"/>
    <x v="0"/>
    <x v="0"/>
    <x v="1"/>
  </r>
  <r>
    <x v="2"/>
    <n v="69"/>
    <x v="1"/>
    <s v="Secondary school (GCSE)"/>
    <s v="Homemaker"/>
    <s v="£35,001–£50,000"/>
    <x v="0"/>
    <x v="35"/>
    <x v="21"/>
    <x v="11"/>
    <s v="No"/>
    <x v="0"/>
    <s v="Yes"/>
    <s v="No"/>
    <x v="0"/>
    <s v="No"/>
    <s v="No"/>
    <x v="0"/>
    <s v="No"/>
    <x v="1"/>
    <x v="0"/>
    <x v="0"/>
    <x v="0"/>
  </r>
  <r>
    <x v="2"/>
    <n v="69"/>
    <x v="1"/>
    <s v="Primary school"/>
    <s v="Manual / Trade worker"/>
    <s v="Under £20,000"/>
    <x v="0"/>
    <x v="6"/>
    <x v="46"/>
    <x v="3"/>
    <s v="No"/>
    <x v="0"/>
    <s v="Yes"/>
    <s v="No"/>
    <x v="0"/>
    <s v="No"/>
    <s v="No"/>
    <x v="0"/>
    <s v="No"/>
    <x v="1"/>
    <x v="0"/>
    <x v="0"/>
    <x v="0"/>
  </r>
  <r>
    <x v="2"/>
    <n v="70"/>
    <x v="1"/>
    <s v="Secondary school (GCSE)"/>
    <s v="Homemaker"/>
    <s v="Under £20,000"/>
    <x v="1"/>
    <x v="1"/>
    <x v="6"/>
    <x v="9"/>
    <s v="No"/>
    <x v="1"/>
    <s v="Yes"/>
    <s v="No"/>
    <x v="0"/>
    <s v="No"/>
    <s v="No"/>
    <x v="0"/>
    <s v="No"/>
    <x v="1"/>
    <x v="1"/>
    <x v="0"/>
    <x v="0"/>
  </r>
  <r>
    <x v="2"/>
    <n v="70"/>
    <x v="1"/>
    <s v="Postgraduate degree"/>
    <s v="Homemaker"/>
    <s v="Under £20,000"/>
    <x v="0"/>
    <x v="35"/>
    <x v="34"/>
    <x v="21"/>
    <s v="No"/>
    <x v="0"/>
    <s v="Yes"/>
    <s v="No"/>
    <x v="0"/>
    <s v="No"/>
    <s v="No"/>
    <x v="0"/>
    <s v="No"/>
    <x v="1"/>
    <x v="0"/>
    <x v="0"/>
    <x v="0"/>
  </r>
  <r>
    <x v="2"/>
    <n v="74"/>
    <x v="0"/>
    <s v="Bachelor's degree"/>
    <s v="Homemaker"/>
    <s v="£35,001–£50,000"/>
    <x v="0"/>
    <x v="45"/>
    <x v="9"/>
    <x v="13"/>
    <s v="Yes"/>
    <x v="0"/>
    <s v="Yes"/>
    <s v="No"/>
    <x v="0"/>
    <s v="No"/>
    <s v="No"/>
    <x v="0"/>
    <s v="No"/>
    <x v="0"/>
    <x v="0"/>
    <x v="0"/>
    <x v="0"/>
  </r>
  <r>
    <x v="2"/>
    <n v="76"/>
    <x v="0"/>
    <s v="Postgraduate degree"/>
    <s v="Homemaker"/>
    <s v="£35,001–£50,000"/>
    <x v="0"/>
    <x v="12"/>
    <x v="27"/>
    <x v="26"/>
    <s v="No"/>
    <x v="0"/>
    <s v="Yes"/>
    <s v="No"/>
    <x v="0"/>
    <s v="No"/>
    <s v="No"/>
    <x v="0"/>
    <s v="No"/>
    <x v="1"/>
    <x v="0"/>
    <x v="0"/>
    <x v="1"/>
  </r>
  <r>
    <x v="2"/>
    <n v="77"/>
    <x v="0"/>
    <s v="Secondary school (GCSE)"/>
    <s v="Employed (services)"/>
    <s v="Under £20,000"/>
    <x v="2"/>
    <x v="36"/>
    <x v="47"/>
    <x v="0"/>
    <s v="Yes"/>
    <x v="0"/>
    <s v="Yes"/>
    <s v="No"/>
    <x v="0"/>
    <s v="No"/>
    <s v="No"/>
    <x v="0"/>
    <s v="No"/>
    <x v="1"/>
    <x v="0"/>
    <x v="0"/>
    <x v="1"/>
  </r>
  <r>
    <x v="2"/>
    <n v="80"/>
    <x v="1"/>
    <s v="Secondary school (GCSE)"/>
    <s v="Employed (services)"/>
    <s v="£20,001–£35,000"/>
    <x v="0"/>
    <x v="11"/>
    <x v="17"/>
    <x v="35"/>
    <s v="No"/>
    <x v="0"/>
    <s v="No"/>
    <s v="No"/>
    <x v="1"/>
    <s v="No"/>
    <s v="Yes"/>
    <x v="0"/>
    <s v="No"/>
    <x v="1"/>
    <x v="0"/>
    <x v="0"/>
    <x v="1"/>
  </r>
  <r>
    <x v="2"/>
    <n v="82"/>
    <x v="1"/>
    <s v="Primary school"/>
    <s v="Homemaker"/>
    <s v="Under £20,000"/>
    <x v="2"/>
    <x v="39"/>
    <x v="7"/>
    <x v="29"/>
    <s v="No"/>
    <x v="0"/>
    <s v="No"/>
    <s v="No"/>
    <x v="0"/>
    <s v="No"/>
    <s v="No"/>
    <x v="0"/>
    <s v="No"/>
    <x v="1"/>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7A0608-5809-421C-830D-4DA823ED662C}" name="PivotTable9"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2:C164" firstHeaderRow="0" firstDataRow="1" firstDataCol="1" rowPageCount="4" colPageCount="1"/>
  <pivotFields count="23">
    <pivotField axis="axisPage" showAll="0">
      <items count="4">
        <item x="0"/>
        <item x="1"/>
        <item x="2"/>
        <item t="default"/>
      </items>
    </pivotField>
    <pivotField showAll="0"/>
    <pivotField axis="axisPage" showAll="0">
      <items count="3">
        <item x="0"/>
        <item x="1"/>
        <item t="default"/>
      </items>
    </pivotField>
    <pivotField showAll="0"/>
    <pivotField showAll="0"/>
    <pivotField showAll="0"/>
    <pivotField showAll="0">
      <items count="4">
        <item x="1"/>
        <item x="2"/>
        <item x="0"/>
        <item t="default"/>
      </items>
    </pivotField>
    <pivotField axis="axisRow" showAll="0">
      <items count="52">
        <item x="37"/>
        <item x="43"/>
        <item x="15"/>
        <item x="1"/>
        <item x="49"/>
        <item x="13"/>
        <item x="35"/>
        <item x="12"/>
        <item x="19"/>
        <item x="3"/>
        <item x="25"/>
        <item x="7"/>
        <item x="0"/>
        <item x="39"/>
        <item x="33"/>
        <item x="24"/>
        <item x="44"/>
        <item x="47"/>
        <item x="11"/>
        <item x="46"/>
        <item x="26"/>
        <item x="42"/>
        <item x="5"/>
        <item x="22"/>
        <item x="2"/>
        <item x="34"/>
        <item x="10"/>
        <item x="38"/>
        <item x="41"/>
        <item x="14"/>
        <item x="23"/>
        <item x="6"/>
        <item x="48"/>
        <item x="21"/>
        <item x="50"/>
        <item x="31"/>
        <item x="28"/>
        <item x="8"/>
        <item x="45"/>
        <item x="16"/>
        <item x="4"/>
        <item x="29"/>
        <item x="30"/>
        <item x="32"/>
        <item x="40"/>
        <item x="9"/>
        <item x="18"/>
        <item x="36"/>
        <item x="20"/>
        <item x="17"/>
        <item x="27"/>
        <item t="default"/>
      </items>
    </pivotField>
    <pivotField dataField="1" showAll="0">
      <items count="49">
        <item x="40"/>
        <item x="12"/>
        <item x="36"/>
        <item x="29"/>
        <item x="16"/>
        <item x="23"/>
        <item x="44"/>
        <item x="47"/>
        <item x="31"/>
        <item x="43"/>
        <item x="33"/>
        <item x="4"/>
        <item x="8"/>
        <item x="38"/>
        <item x="1"/>
        <item x="3"/>
        <item x="24"/>
        <item x="7"/>
        <item x="32"/>
        <item x="5"/>
        <item x="25"/>
        <item x="30"/>
        <item x="34"/>
        <item x="45"/>
        <item x="18"/>
        <item x="27"/>
        <item x="6"/>
        <item x="20"/>
        <item x="9"/>
        <item x="15"/>
        <item x="19"/>
        <item x="14"/>
        <item x="41"/>
        <item x="21"/>
        <item x="13"/>
        <item x="17"/>
        <item x="22"/>
        <item x="11"/>
        <item x="0"/>
        <item x="35"/>
        <item x="26"/>
        <item x="39"/>
        <item x="10"/>
        <item x="28"/>
        <item x="46"/>
        <item x="2"/>
        <item x="42"/>
        <item x="37"/>
        <item t="default"/>
      </items>
    </pivotField>
    <pivotField dataField="1" showAll="0">
      <items count="37">
        <item x="1"/>
        <item x="12"/>
        <item x="4"/>
        <item x="14"/>
        <item x="31"/>
        <item x="27"/>
        <item x="17"/>
        <item x="35"/>
        <item x="11"/>
        <item x="33"/>
        <item x="30"/>
        <item x="21"/>
        <item x="5"/>
        <item x="9"/>
        <item x="16"/>
        <item x="13"/>
        <item x="19"/>
        <item x="34"/>
        <item x="0"/>
        <item x="8"/>
        <item x="2"/>
        <item x="25"/>
        <item x="23"/>
        <item x="15"/>
        <item x="28"/>
        <item x="3"/>
        <item x="18"/>
        <item x="29"/>
        <item x="7"/>
        <item x="26"/>
        <item x="24"/>
        <item x="10"/>
        <item x="6"/>
        <item x="32"/>
        <item x="20"/>
        <item x="22"/>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axis="axisPage" showAll="0">
      <items count="3">
        <item x="1"/>
        <item x="0"/>
        <item t="default"/>
      </items>
    </pivotField>
    <pivotField showAll="0"/>
    <pivotField axis="axisPage" showAll="0">
      <items count="3">
        <item x="1"/>
        <item x="0"/>
        <item t="default"/>
      </items>
    </pivotField>
    <pivotField showAll="0"/>
  </pivotFields>
  <rowFields count="1">
    <field x="7"/>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2">
    <i>
      <x/>
    </i>
    <i i="1">
      <x v="1"/>
    </i>
  </colItems>
  <pageFields count="4">
    <pageField fld="0" hier="-1"/>
    <pageField fld="2" hier="-1"/>
    <pageField fld="21" hier="-1"/>
    <pageField fld="19" hier="-1"/>
  </pageFields>
  <dataFields count="2">
    <dataField name="Average of Systolic BP" fld="8" subtotal="average" baseField="7" baseItem="6"/>
    <dataField name="Average of Diastolic BP" fld="9" subtotal="average" baseField="7" baseItem="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FB3EE-5D94-474A-9410-1B838C35D3EB}" name="PivotTable8"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3:C90" firstHeaderRow="0" firstDataRow="1" firstDataCol="1" rowPageCount="3" colPageCount="1"/>
  <pivotFields count="23">
    <pivotField axis="axisPage" multipleItemSelectionAllowed="1" showAll="0">
      <items count="4">
        <item x="0"/>
        <item x="1"/>
        <item x="2"/>
        <item t="default"/>
      </items>
    </pivotField>
    <pivotField showAll="0"/>
    <pivotField axis="axisPage" showAll="0">
      <items count="3">
        <item x="0"/>
        <item x="1"/>
        <item t="default"/>
      </items>
    </pivotField>
    <pivotField showAll="0"/>
    <pivotField showAll="0"/>
    <pivotField showAll="0"/>
    <pivotField axis="axisPage" showAll="0">
      <items count="4">
        <item x="1"/>
        <item x="2"/>
        <item x="0"/>
        <item t="default"/>
      </items>
    </pivotField>
    <pivotField showAll="0"/>
    <pivotField dataField="1" showAll="0">
      <items count="49">
        <item x="40"/>
        <item x="12"/>
        <item x="36"/>
        <item x="29"/>
        <item x="16"/>
        <item x="23"/>
        <item x="44"/>
        <item x="47"/>
        <item x="31"/>
        <item x="43"/>
        <item x="33"/>
        <item x="4"/>
        <item x="8"/>
        <item x="38"/>
        <item x="1"/>
        <item x="3"/>
        <item x="24"/>
        <item x="7"/>
        <item x="32"/>
        <item x="5"/>
        <item x="25"/>
        <item x="30"/>
        <item x="34"/>
        <item x="45"/>
        <item x="18"/>
        <item x="27"/>
        <item x="6"/>
        <item x="20"/>
        <item x="9"/>
        <item x="15"/>
        <item x="19"/>
        <item x="14"/>
        <item x="41"/>
        <item x="21"/>
        <item x="13"/>
        <item x="17"/>
        <item x="22"/>
        <item x="11"/>
        <item x="0"/>
        <item x="35"/>
        <item x="26"/>
        <item x="39"/>
        <item x="10"/>
        <item x="28"/>
        <item x="46"/>
        <item x="2"/>
        <item x="42"/>
        <item x="37"/>
        <item t="default"/>
      </items>
    </pivotField>
    <pivotField dataField="1" showAll="0">
      <items count="37">
        <item x="1"/>
        <item x="12"/>
        <item x="4"/>
        <item x="14"/>
        <item x="31"/>
        <item x="27"/>
        <item x="17"/>
        <item x="35"/>
        <item x="11"/>
        <item x="33"/>
        <item x="30"/>
        <item x="21"/>
        <item x="5"/>
        <item x="9"/>
        <item x="16"/>
        <item x="13"/>
        <item x="19"/>
        <item x="34"/>
        <item x="0"/>
        <item x="8"/>
        <item x="2"/>
        <item x="25"/>
        <item x="23"/>
        <item x="15"/>
        <item x="28"/>
        <item x="3"/>
        <item x="18"/>
        <item x="29"/>
        <item x="7"/>
        <item x="26"/>
        <item x="24"/>
        <item x="10"/>
        <item x="6"/>
        <item x="32"/>
        <item x="20"/>
        <item x="22"/>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3">
        <item x="1"/>
        <item x="0"/>
        <item t="default"/>
      </items>
    </pivotField>
    <pivotField axis="axisRow" showAll="0">
      <items count="3">
        <item x="0"/>
        <item x="1"/>
        <item t="default"/>
      </items>
    </pivotField>
  </pivotFields>
  <rowFields count="2">
    <field x="14"/>
    <field x="22"/>
  </rowFields>
  <rowItems count="7">
    <i>
      <x/>
    </i>
    <i r="1">
      <x/>
    </i>
    <i r="1">
      <x v="1"/>
    </i>
    <i>
      <x v="1"/>
    </i>
    <i r="1">
      <x/>
    </i>
    <i r="1">
      <x v="1"/>
    </i>
    <i t="grand">
      <x/>
    </i>
  </rowItems>
  <colFields count="1">
    <field x="-2"/>
  </colFields>
  <colItems count="2">
    <i>
      <x/>
    </i>
    <i i="1">
      <x v="1"/>
    </i>
  </colItems>
  <pageFields count="3">
    <pageField fld="0" hier="-1"/>
    <pageField fld="2" hier="-1"/>
    <pageField fld="6" hier="-1"/>
  </pageFields>
  <dataFields count="2">
    <dataField name="Average of Systolic BP" fld="8" subtotal="average" baseField="14" baseItem="0"/>
    <dataField name="Average of Diastolic BP" fld="9" subtotal="average" baseField="14"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E7AEE7-B3B6-4A0A-B899-E45ED3D71238}" name="PivotTable7"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2:G57" firstHeaderRow="1" firstDataRow="3" firstDataCol="1" rowPageCount="4" colPageCount="1"/>
  <pivotFields count="23">
    <pivotField axis="axisPage" showAll="0">
      <items count="4">
        <item x="0"/>
        <item x="1"/>
        <item x="2"/>
        <item t="default"/>
      </items>
    </pivotField>
    <pivotField showAll="0"/>
    <pivotField axis="axisPage" showAll="0">
      <items count="3">
        <item x="0"/>
        <item x="1"/>
        <item t="default"/>
      </items>
    </pivotField>
    <pivotField showAll="0"/>
    <pivotField showAll="0"/>
    <pivotField showAll="0"/>
    <pivotField showAll="0">
      <items count="4">
        <item x="1"/>
        <item x="2"/>
        <item x="0"/>
        <item t="default"/>
      </items>
    </pivotField>
    <pivotField showAll="0"/>
    <pivotField dataField="1" showAll="0">
      <items count="49">
        <item x="40"/>
        <item x="12"/>
        <item x="36"/>
        <item x="29"/>
        <item x="16"/>
        <item x="23"/>
        <item x="44"/>
        <item x="47"/>
        <item x="31"/>
        <item x="43"/>
        <item x="33"/>
        <item x="4"/>
        <item x="8"/>
        <item x="38"/>
        <item x="1"/>
        <item x="3"/>
        <item x="24"/>
        <item x="7"/>
        <item x="32"/>
        <item x="5"/>
        <item x="25"/>
        <item x="30"/>
        <item x="34"/>
        <item x="45"/>
        <item x="18"/>
        <item x="27"/>
        <item x="6"/>
        <item x="20"/>
        <item x="9"/>
        <item x="15"/>
        <item x="19"/>
        <item x="14"/>
        <item x="41"/>
        <item x="21"/>
        <item x="13"/>
        <item x="17"/>
        <item x="22"/>
        <item x="11"/>
        <item x="0"/>
        <item x="35"/>
        <item x="26"/>
        <item x="39"/>
        <item x="10"/>
        <item x="28"/>
        <item x="46"/>
        <item x="2"/>
        <item x="42"/>
        <item x="37"/>
        <item t="default"/>
      </items>
    </pivotField>
    <pivotField dataField="1" showAll="0">
      <items count="37">
        <item x="1"/>
        <item x="12"/>
        <item x="4"/>
        <item x="14"/>
        <item x="31"/>
        <item x="27"/>
        <item x="17"/>
        <item x="35"/>
        <item x="11"/>
        <item x="33"/>
        <item x="30"/>
        <item x="21"/>
        <item x="5"/>
        <item x="9"/>
        <item x="16"/>
        <item x="13"/>
        <item x="19"/>
        <item x="34"/>
        <item x="0"/>
        <item x="8"/>
        <item x="2"/>
        <item x="25"/>
        <item x="23"/>
        <item x="15"/>
        <item x="28"/>
        <item x="3"/>
        <item x="18"/>
        <item x="29"/>
        <item x="7"/>
        <item x="26"/>
        <item x="24"/>
        <item x="10"/>
        <item x="6"/>
        <item x="32"/>
        <item x="20"/>
        <item x="22"/>
        <item t="default"/>
      </items>
    </pivotField>
    <pivotField showAll="0"/>
    <pivotField axis="axisPage" showAll="0">
      <items count="3">
        <item x="0"/>
        <item x="1"/>
        <item t="default"/>
      </items>
    </pivotField>
    <pivotField showAll="0"/>
    <pivotField showAll="0"/>
    <pivotField showAll="0">
      <items count="3">
        <item x="0"/>
        <item x="1"/>
        <item t="default"/>
      </items>
    </pivotField>
    <pivotField showAll="0"/>
    <pivotField showAll="0"/>
    <pivotField axis="axisPage" showAll="0">
      <items count="3">
        <item x="0"/>
        <item x="1"/>
        <item t="default"/>
      </items>
    </pivotField>
    <pivotField showAll="0"/>
    <pivotField axis="axisRow" showAll="0">
      <items count="3">
        <item x="1"/>
        <item x="0"/>
        <item t="default"/>
      </items>
    </pivotField>
    <pivotField axis="axisCol" showAll="0">
      <items count="3">
        <item x="1"/>
        <item x="0"/>
        <item t="default"/>
      </items>
    </pivotField>
    <pivotField showAll="0">
      <items count="3">
        <item x="1"/>
        <item x="0"/>
        <item t="default"/>
      </items>
    </pivotField>
    <pivotField showAll="0"/>
  </pivotFields>
  <rowFields count="1">
    <field x="19"/>
  </rowFields>
  <rowItems count="3">
    <i>
      <x/>
    </i>
    <i>
      <x v="1"/>
    </i>
    <i t="grand">
      <x/>
    </i>
  </rowItems>
  <colFields count="2">
    <field x="-2"/>
    <field x="20"/>
  </colFields>
  <colItems count="6">
    <i>
      <x/>
      <x/>
    </i>
    <i r="1">
      <x v="1"/>
    </i>
    <i i="1">
      <x v="1"/>
      <x/>
    </i>
    <i r="1" i="1">
      <x v="1"/>
    </i>
    <i t="grand">
      <x/>
    </i>
    <i t="grand" i="1">
      <x/>
    </i>
  </colItems>
  <pageFields count="4">
    <pageField fld="0" hier="-1"/>
    <pageField fld="2" hier="-1"/>
    <pageField fld="11" hier="-1"/>
    <pageField fld="17" hier="-1"/>
  </pageFields>
  <dataFields count="2">
    <dataField name="Average of Systolic BP" fld="8" subtotal="average" baseField="19" baseItem="0"/>
    <dataField name="Average of Diastolic BP" fld="9" subtotal="average" baseField="19" baseItem="0"/>
  </dataFields>
  <chartFormats count="8">
    <chartFormat chart="13" format="0" series="1">
      <pivotArea type="data" outline="0" fieldPosition="0">
        <references count="2">
          <reference field="4294967294" count="1" selected="0">
            <x v="0"/>
          </reference>
          <reference field="20" count="1" selected="0">
            <x v="0"/>
          </reference>
        </references>
      </pivotArea>
    </chartFormat>
    <chartFormat chart="13" format="1" series="1">
      <pivotArea type="data" outline="0" fieldPosition="0">
        <references count="2">
          <reference field="4294967294" count="1" selected="0">
            <x v="0"/>
          </reference>
          <reference field="20" count="1" selected="0">
            <x v="1"/>
          </reference>
        </references>
      </pivotArea>
    </chartFormat>
    <chartFormat chart="13" format="2" series="1">
      <pivotArea type="data" outline="0" fieldPosition="0">
        <references count="2">
          <reference field="4294967294" count="1" selected="0">
            <x v="1"/>
          </reference>
          <reference field="20" count="1" selected="0">
            <x v="0"/>
          </reference>
        </references>
      </pivotArea>
    </chartFormat>
    <chartFormat chart="13" format="3" series="1">
      <pivotArea type="data" outline="0" fieldPosition="0">
        <references count="2">
          <reference field="4294967294" count="1" selected="0">
            <x v="1"/>
          </reference>
          <reference field="20" count="1" selected="0">
            <x v="1"/>
          </reference>
        </references>
      </pivotArea>
    </chartFormat>
    <chartFormat chart="18" format="8" series="1">
      <pivotArea type="data" outline="0" fieldPosition="0">
        <references count="2">
          <reference field="4294967294" count="1" selected="0">
            <x v="0"/>
          </reference>
          <reference field="20" count="1" selected="0">
            <x v="0"/>
          </reference>
        </references>
      </pivotArea>
    </chartFormat>
    <chartFormat chart="18" format="9" series="1">
      <pivotArea type="data" outline="0" fieldPosition="0">
        <references count="2">
          <reference field="4294967294" count="1" selected="0">
            <x v="0"/>
          </reference>
          <reference field="20" count="1" selected="0">
            <x v="1"/>
          </reference>
        </references>
      </pivotArea>
    </chartFormat>
    <chartFormat chart="18" format="10" series="1">
      <pivotArea type="data" outline="0" fieldPosition="0">
        <references count="2">
          <reference field="4294967294" count="1" selected="0">
            <x v="1"/>
          </reference>
          <reference field="20" count="1" selected="0">
            <x v="0"/>
          </reference>
        </references>
      </pivotArea>
    </chartFormat>
    <chartFormat chart="18" format="11" series="1">
      <pivotArea type="data" outline="0" fieldPosition="0">
        <references count="2">
          <reference field="4294967294"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DB9E95-DEBE-4068-9455-17B990366BA3}" name="PivotTable6"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C37" firstHeaderRow="0" firstDataRow="1" firstDataCol="1" rowPageCount="4" colPageCount="1"/>
  <pivotFields count="23">
    <pivotField axis="axisPage" showAll="0">
      <items count="4">
        <item x="0"/>
        <item x="1"/>
        <item x="2"/>
        <item t="default"/>
      </items>
    </pivotField>
    <pivotField showAll="0"/>
    <pivotField axis="axisPage" showAll="0">
      <items count="3">
        <item x="0"/>
        <item x="1"/>
        <item t="default"/>
      </items>
    </pivotField>
    <pivotField showAll="0"/>
    <pivotField showAll="0"/>
    <pivotField showAll="0"/>
    <pivotField axis="axisPage" showAll="0">
      <items count="4">
        <item x="1"/>
        <item x="2"/>
        <item x="0"/>
        <item t="default"/>
      </items>
    </pivotField>
    <pivotField showAll="0">
      <items count="52">
        <item x="37"/>
        <item x="43"/>
        <item x="15"/>
        <item x="1"/>
        <item x="49"/>
        <item x="13"/>
        <item x="35"/>
        <item x="12"/>
        <item x="19"/>
        <item x="3"/>
        <item x="25"/>
        <item x="7"/>
        <item x="0"/>
        <item x="39"/>
        <item x="33"/>
        <item x="24"/>
        <item x="44"/>
        <item x="47"/>
        <item x="11"/>
        <item x="46"/>
        <item x="26"/>
        <item x="42"/>
        <item x="5"/>
        <item x="22"/>
        <item x="2"/>
        <item x="34"/>
        <item x="10"/>
        <item x="38"/>
        <item x="41"/>
        <item x="14"/>
        <item x="23"/>
        <item x="6"/>
        <item x="48"/>
        <item x="21"/>
        <item x="50"/>
        <item x="31"/>
        <item x="28"/>
        <item x="8"/>
        <item x="45"/>
        <item x="16"/>
        <item x="4"/>
        <item x="29"/>
        <item x="30"/>
        <item x="32"/>
        <item x="40"/>
        <item x="9"/>
        <item x="18"/>
        <item x="36"/>
        <item x="20"/>
        <item x="17"/>
        <item x="27"/>
        <item t="default"/>
      </items>
    </pivotField>
    <pivotField dataField="1" showAll="0">
      <items count="49">
        <item x="40"/>
        <item x="12"/>
        <item x="36"/>
        <item x="29"/>
        <item x="16"/>
        <item x="23"/>
        <item x="44"/>
        <item x="47"/>
        <item x="31"/>
        <item x="43"/>
        <item x="33"/>
        <item x="4"/>
        <item x="8"/>
        <item x="38"/>
        <item x="1"/>
        <item x="3"/>
        <item x="24"/>
        <item x="7"/>
        <item x="32"/>
        <item x="5"/>
        <item x="25"/>
        <item x="30"/>
        <item x="34"/>
        <item x="45"/>
        <item x="18"/>
        <item x="27"/>
        <item x="6"/>
        <item x="20"/>
        <item x="9"/>
        <item x="15"/>
        <item x="19"/>
        <item x="14"/>
        <item x="41"/>
        <item x="21"/>
        <item x="13"/>
        <item x="17"/>
        <item x="22"/>
        <item x="11"/>
        <item x="0"/>
        <item x="35"/>
        <item x="26"/>
        <item x="39"/>
        <item x="10"/>
        <item x="28"/>
        <item x="46"/>
        <item x="2"/>
        <item x="42"/>
        <item x="37"/>
        <item t="default"/>
      </items>
    </pivotField>
    <pivotField dataField="1" showAll="0">
      <items count="37">
        <item x="1"/>
        <item x="12"/>
        <item x="4"/>
        <item x="14"/>
        <item x="31"/>
        <item x="27"/>
        <item x="17"/>
        <item x="35"/>
        <item x="11"/>
        <item x="33"/>
        <item x="30"/>
        <item x="21"/>
        <item x="5"/>
        <item x="9"/>
        <item x="16"/>
        <item x="13"/>
        <item x="19"/>
        <item x="34"/>
        <item x="0"/>
        <item x="8"/>
        <item x="2"/>
        <item x="25"/>
        <item x="23"/>
        <item x="15"/>
        <item x="28"/>
        <item x="3"/>
        <item x="18"/>
        <item x="29"/>
        <item x="7"/>
        <item x="26"/>
        <item x="24"/>
        <item x="10"/>
        <item x="6"/>
        <item x="32"/>
        <item x="20"/>
        <item x="22"/>
        <item t="default"/>
      </items>
    </pivotField>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s>
  <rowFields count="1">
    <field x="21"/>
  </rowFields>
  <rowItems count="3">
    <i>
      <x/>
    </i>
    <i>
      <x v="1"/>
    </i>
    <i t="grand">
      <x/>
    </i>
  </rowItems>
  <colFields count="1">
    <field x="-2"/>
  </colFields>
  <colItems count="2">
    <i>
      <x/>
    </i>
    <i i="1">
      <x v="1"/>
    </i>
  </colItems>
  <pageFields count="4">
    <pageField fld="0" hier="-1"/>
    <pageField fld="2" hier="-1"/>
    <pageField fld="6" hier="-1"/>
    <pageField fld="14" hier="-1"/>
  </pageFields>
  <dataFields count="2">
    <dataField name="Average of Systolic BP" fld="8" subtotal="average" baseField="21" baseItem="0"/>
    <dataField name="Average of Diastolic BP" fld="9" subtotal="average" baseField="2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8F46E5-7C1A-4792-81B6-3EB414EAC132}" name="PivotTable5"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E24" firstHeaderRow="1" firstDataRow="2" firstDataCol="1"/>
  <pivotFields count="23">
    <pivotField axis="axisRow" showAll="0">
      <items count="4">
        <item x="0"/>
        <item x="1"/>
        <item x="2"/>
        <item t="default"/>
      </items>
    </pivotField>
    <pivotField showAll="0"/>
    <pivotField showAll="0">
      <items count="3">
        <item x="0"/>
        <item x="1"/>
        <item t="default"/>
      </items>
    </pivotField>
    <pivotField showAll="0"/>
    <pivotField showAll="0"/>
    <pivotField showAll="0"/>
    <pivotField axis="axisCol" showAll="0">
      <items count="4">
        <item x="1"/>
        <item x="2"/>
        <item x="0"/>
        <item t="default"/>
      </items>
    </pivotField>
    <pivotField showAll="0"/>
    <pivotField dataField="1" showAll="0">
      <items count="49">
        <item x="40"/>
        <item x="12"/>
        <item x="36"/>
        <item x="29"/>
        <item x="16"/>
        <item x="23"/>
        <item x="44"/>
        <item x="47"/>
        <item x="31"/>
        <item x="43"/>
        <item x="33"/>
        <item x="4"/>
        <item x="8"/>
        <item x="38"/>
        <item x="1"/>
        <item x="3"/>
        <item x="24"/>
        <item x="7"/>
        <item x="32"/>
        <item x="5"/>
        <item x="25"/>
        <item x="30"/>
        <item x="34"/>
        <item x="45"/>
        <item x="18"/>
        <item x="27"/>
        <item x="6"/>
        <item x="20"/>
        <item x="9"/>
        <item x="15"/>
        <item x="19"/>
        <item x="14"/>
        <item x="41"/>
        <item x="21"/>
        <item x="13"/>
        <item x="17"/>
        <item x="22"/>
        <item x="11"/>
        <item x="0"/>
        <item x="35"/>
        <item x="26"/>
        <item x="39"/>
        <item x="10"/>
        <item x="28"/>
        <item x="46"/>
        <item x="2"/>
        <item x="42"/>
        <item x="37"/>
        <item t="default"/>
      </items>
    </pivotField>
    <pivotField showAll="0">
      <items count="37">
        <item x="1"/>
        <item x="12"/>
        <item x="4"/>
        <item x="14"/>
        <item x="31"/>
        <item x="27"/>
        <item x="17"/>
        <item x="35"/>
        <item x="11"/>
        <item x="33"/>
        <item x="30"/>
        <item x="21"/>
        <item x="5"/>
        <item x="9"/>
        <item x="16"/>
        <item x="13"/>
        <item x="19"/>
        <item x="34"/>
        <item x="0"/>
        <item x="8"/>
        <item x="2"/>
        <item x="25"/>
        <item x="23"/>
        <item x="15"/>
        <item x="28"/>
        <item x="3"/>
        <item x="18"/>
        <item x="29"/>
        <item x="7"/>
        <item x="26"/>
        <item x="24"/>
        <item x="10"/>
        <item x="6"/>
        <item x="32"/>
        <item x="20"/>
        <item x="22"/>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3">
        <item x="1"/>
        <item x="0"/>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Average of Systolic BP" fld="8" subtotal="average"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88BED9-FE68-436A-8AC6-295297A1ACE4}" name="PivotTable3"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C15" firstHeaderRow="0" firstDataRow="1" firstDataCol="1" rowPageCount="10" colPageCount="1"/>
  <pivotFields count="22">
    <pivotField showAll="0"/>
    <pivotField axis="axisRow" showAll="0">
      <items count="3">
        <item x="0"/>
        <item x="1"/>
        <item t="default"/>
      </items>
    </pivotField>
    <pivotField showAll="0"/>
    <pivotField showAll="0"/>
    <pivotField showAll="0"/>
    <pivotField showAll="0"/>
    <pivotField axis="axisPage" showAll="0">
      <items count="52">
        <item x="37"/>
        <item x="43"/>
        <item x="15"/>
        <item x="1"/>
        <item x="49"/>
        <item x="13"/>
        <item x="35"/>
        <item x="12"/>
        <item x="19"/>
        <item x="3"/>
        <item x="25"/>
        <item x="7"/>
        <item x="0"/>
        <item x="39"/>
        <item x="33"/>
        <item x="24"/>
        <item x="44"/>
        <item x="47"/>
        <item x="11"/>
        <item x="46"/>
        <item x="26"/>
        <item x="42"/>
        <item x="5"/>
        <item x="22"/>
        <item x="2"/>
        <item x="34"/>
        <item x="10"/>
        <item x="38"/>
        <item x="41"/>
        <item x="14"/>
        <item x="23"/>
        <item x="6"/>
        <item x="48"/>
        <item x="21"/>
        <item x="50"/>
        <item x="31"/>
        <item x="28"/>
        <item x="8"/>
        <item x="45"/>
        <item x="16"/>
        <item x="4"/>
        <item x="29"/>
        <item x="30"/>
        <item x="32"/>
        <item x="40"/>
        <item x="9"/>
        <item x="18"/>
        <item x="36"/>
        <item x="20"/>
        <item x="17"/>
        <item x="27"/>
        <item t="default"/>
      </items>
    </pivotField>
    <pivotField dataField="1" showAll="0"/>
    <pivotField dataField="1" showAll="0"/>
    <pivotField axis="axisPage" showAll="0">
      <items count="3">
        <item x="0"/>
        <item x="1"/>
        <item t="default"/>
      </items>
    </pivotField>
    <pivotField axis="axisPage" showAll="0">
      <items count="3">
        <item x="0"/>
        <item x="1"/>
        <item t="default"/>
      </items>
    </pivotField>
    <pivotField axis="axisPage" showAll="0">
      <items count="3">
        <item x="1"/>
        <item x="0"/>
        <item t="default"/>
      </items>
    </pivotField>
    <pivotField axis="axisPage" showAll="0">
      <items count="3">
        <item x="0"/>
        <item x="1"/>
        <item t="default"/>
      </items>
    </pivotField>
    <pivotField axis="axisPage" showAll="0">
      <items count="3">
        <item x="0"/>
        <item x="1"/>
        <item t="default"/>
      </items>
    </pivotField>
    <pivotField axis="axisPage" showAll="0">
      <items count="3">
        <item x="0"/>
        <item x="1"/>
        <item t="default"/>
      </items>
    </pivotField>
    <pivotField axis="axisPage" showAll="0">
      <items count="3">
        <item x="0"/>
        <item x="1"/>
        <item t="default"/>
      </items>
    </pivotField>
    <pivotField axis="axisPage" showAll="0">
      <items count="3">
        <item x="0"/>
        <item x="1"/>
        <item t="default"/>
      </items>
    </pivotField>
    <pivotField axis="axisPage" showAll="0">
      <items count="3">
        <item x="0"/>
        <item x="1"/>
        <item t="default"/>
      </items>
    </pivotField>
    <pivotField showAll="0"/>
    <pivotField showAll="0"/>
    <pivotField showAll="0"/>
    <pivotField showAll="0"/>
  </pivotFields>
  <rowFields count="1">
    <field x="1"/>
  </rowFields>
  <rowItems count="3">
    <i>
      <x/>
    </i>
    <i>
      <x v="1"/>
    </i>
    <i t="grand">
      <x/>
    </i>
  </rowItems>
  <colFields count="1">
    <field x="-2"/>
  </colFields>
  <colItems count="2">
    <i>
      <x/>
    </i>
    <i i="1">
      <x v="1"/>
    </i>
  </colItems>
  <pageFields count="10">
    <pageField fld="6" hier="-1"/>
    <pageField fld="9" hier="-1"/>
    <pageField fld="17" hier="-1"/>
    <pageField fld="16" hier="-1"/>
    <pageField fld="15" hier="-1"/>
    <pageField fld="10" hier="-1"/>
    <pageField fld="11" hier="-1"/>
    <pageField fld="12" hier="-1"/>
    <pageField fld="14" hier="-1"/>
    <pageField fld="13" hier="-1"/>
  </pageFields>
  <dataFields count="2">
    <dataField name="Max of Systolic BP" fld="7" subtotal="max" baseField="0" baseItem="0"/>
    <dataField name="Max of Diastolic BP" fld="8" subtotal="max" baseField="1" baseItem="1"/>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73C0C256-2AD4-4638-813B-154E12270006}" sourceName="Age Range">
  <pivotTables>
    <pivotTable tabId="8" name="PivotTable5"/>
    <pivotTable tabId="8" name="PivotTable6"/>
    <pivotTable tabId="8" name="PivotTable7"/>
    <pivotTable tabId="8" name="PivotTable8"/>
    <pivotTable tabId="8" name="PivotTable9"/>
  </pivotTables>
  <data>
    <tabular pivotCacheId="15184947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2264E70-1070-423F-BAF7-FC676190EFA1}" sourceName="Sex">
  <pivotTables>
    <pivotTable tabId="8" name="PivotTable5"/>
    <pivotTable tabId="8" name="PivotTable6"/>
    <pivotTable tabId="8" name="PivotTable7"/>
    <pivotTable tabId="8" name="PivotTable8"/>
    <pivotTable tabId="8" name="PivotTable9"/>
  </pivotTables>
  <data>
    <tabular pivotCacheId="15184947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idence" xr10:uid="{D041DC74-9BFA-4300-9BFB-CD387926C62B}" sourceName="Residence">
  <pivotTables>
    <pivotTable tabId="8" name="PivotTable6"/>
    <pivotTable tabId="8" name="PivotTable7"/>
    <pivotTable tabId="8" name="PivotTable8"/>
    <pivotTable tabId="8" name="PivotTable9"/>
    <pivotTable tabId="8" name="PivotTable5"/>
  </pivotTables>
  <data>
    <tabular pivotCacheId="1518494762">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E41F3EF-8487-4139-8DAC-062B4E8474E7}" sourceName="Location">
  <pivotTables>
    <pivotTable tabId="8" name="PivotTable6"/>
  </pivotTables>
  <data>
    <tabular pivotCacheId="1518494762">
      <items count="51">
        <i x="37" s="1"/>
        <i x="43" s="1"/>
        <i x="15" s="1"/>
        <i x="1" s="1"/>
        <i x="49" s="1"/>
        <i x="13" s="1"/>
        <i x="35" s="1"/>
        <i x="12" s="1"/>
        <i x="19" s="1"/>
        <i x="3" s="1"/>
        <i x="25" s="1"/>
        <i x="7" s="1"/>
        <i x="0" s="1"/>
        <i x="39" s="1"/>
        <i x="33" s="1"/>
        <i x="24" s="1"/>
        <i x="44" s="1"/>
        <i x="47" s="1"/>
        <i x="11" s="1"/>
        <i x="46" s="1"/>
        <i x="26" s="1"/>
        <i x="42" s="1"/>
        <i x="5" s="1"/>
        <i x="22" s="1"/>
        <i x="2" s="1"/>
        <i x="34" s="1"/>
        <i x="10" s="1"/>
        <i x="38" s="1"/>
        <i x="41" s="1"/>
        <i x="14" s="1"/>
        <i x="23" s="1"/>
        <i x="6" s="1"/>
        <i x="48" s="1"/>
        <i x="21" s="1"/>
        <i x="50" s="1"/>
        <i x="31" s="1"/>
        <i x="28" s="1"/>
        <i x="8" s="1"/>
        <i x="45" s="1"/>
        <i x="16" s="1"/>
        <i x="4" s="1"/>
        <i x="29" s="1"/>
        <i x="30" s="1"/>
        <i x="32" s="1"/>
        <i x="40" s="1"/>
        <i x="9" s="1"/>
        <i x="18" s="1"/>
        <i x="36" s="1"/>
        <i x="20" s="1"/>
        <i x="17" s="1"/>
        <i x="2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 xr10:uid="{BC073F82-B047-4786-AD0C-9BE15CBCA1EE}" sourceName="Treatment">
  <pivotTables>
    <pivotTable tabId="8" name="PivotTable7"/>
  </pivotTables>
  <data>
    <tabular pivotCacheId="15184947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ange" xr10:uid="{38D91729-A4D1-40FE-B8EF-2CBA7BF7F8C7}" cache="Slicer_Age_Range" caption="Age Range" rowHeight="241300"/>
  <slicer name="Sex" xr10:uid="{FF8F5947-FF14-489A-AB5D-3DAA144D933D}" cache="Slicer_Sex" caption="Sex" rowHeight="241300"/>
  <slicer name="Residence" xr10:uid="{B09FCBFF-400D-497E-BD39-ABC48B2E7A46}" cache="Slicer_Residence" caption="Residence" rowHeight="241300"/>
  <slicer name="Location" xr10:uid="{A0649187-C75D-470A-B6B4-C388C42BABC6}" cache="Slicer_Location" caption="Location" rowHeight="241300"/>
  <slicer name="Treatment" xr10:uid="{C2A97607-A317-44A4-8192-32F4820FCA38}" cache="Slicer_Treatment" caption="Trea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A063-6717-41EA-B4D9-871EBA624351}">
  <dimension ref="A1:W101"/>
  <sheetViews>
    <sheetView topLeftCell="A94" zoomScaleNormal="100" workbookViewId="0">
      <selection activeCell="D104" sqref="D104"/>
    </sheetView>
  </sheetViews>
  <sheetFormatPr defaultRowHeight="14.25" x14ac:dyDescent="0.45"/>
  <cols>
    <col min="4" max="4" width="23.796875" customWidth="1"/>
    <col min="5" max="5" width="20.46484375" customWidth="1"/>
    <col min="6" max="6" width="22.1328125" customWidth="1"/>
    <col min="7" max="7" width="13.1328125" customWidth="1"/>
    <col min="8" max="8" width="15.19921875" customWidth="1"/>
    <col min="9" max="9" width="13.46484375" customWidth="1"/>
    <col min="10" max="10" width="12.265625" customWidth="1"/>
    <col min="11" max="11" width="16.73046875" customWidth="1"/>
    <col min="20" max="20" width="17.73046875" customWidth="1"/>
    <col min="21" max="21" width="14" customWidth="1"/>
    <col min="22" max="22" width="18.53125" customWidth="1"/>
    <col min="23" max="23" width="16" customWidth="1"/>
  </cols>
  <sheetData>
    <row r="1" spans="1:23" x14ac:dyDescent="0.45">
      <c r="A1" s="5" t="s">
        <v>111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45">
      <c r="A2" t="str" cm="1">
        <f t="array" ref="A2">_xlfn.IFS(B2&lt;30, "18-29", B2&lt;45,"30-44",B2&gt;=45,"45-55+")</f>
        <v>18-29</v>
      </c>
      <c r="B2">
        <v>24</v>
      </c>
      <c r="C2" t="s">
        <v>22</v>
      </c>
      <c r="D2" t="s">
        <v>49</v>
      </c>
      <c r="E2" t="s">
        <v>44</v>
      </c>
      <c r="F2" t="s">
        <v>36</v>
      </c>
      <c r="G2" t="s">
        <v>51</v>
      </c>
      <c r="H2" t="s">
        <v>92</v>
      </c>
      <c r="I2">
        <v>160</v>
      </c>
      <c r="J2">
        <v>89</v>
      </c>
      <c r="K2" t="s">
        <v>28</v>
      </c>
      <c r="L2" t="s">
        <v>28</v>
      </c>
      <c r="M2" t="s">
        <v>29</v>
      </c>
      <c r="N2" t="s">
        <v>28</v>
      </c>
      <c r="O2" t="s">
        <v>28</v>
      </c>
      <c r="P2" t="s">
        <v>28</v>
      </c>
      <c r="Q2" t="s">
        <v>28</v>
      </c>
      <c r="R2" t="s">
        <v>28</v>
      </c>
      <c r="S2" t="s">
        <v>28</v>
      </c>
      <c r="T2" t="s">
        <v>46</v>
      </c>
      <c r="U2" t="s">
        <v>31</v>
      </c>
      <c r="V2" t="s">
        <v>29</v>
      </c>
      <c r="W2" t="s">
        <v>32</v>
      </c>
    </row>
    <row r="3" spans="1:23" x14ac:dyDescent="0.45">
      <c r="A3" t="str" cm="1">
        <f t="array" ref="A3">_xlfn.IFS(B3&lt;30, "18-29", B3&lt;45,"30-44",B3&gt;=45,"45-55+")</f>
        <v>18-29</v>
      </c>
      <c r="B3">
        <v>26</v>
      </c>
      <c r="C3" t="s">
        <v>33</v>
      </c>
      <c r="D3" t="s">
        <v>49</v>
      </c>
      <c r="E3" t="s">
        <v>35</v>
      </c>
      <c r="F3" t="s">
        <v>36</v>
      </c>
      <c r="G3" t="s">
        <v>26</v>
      </c>
      <c r="H3" t="s">
        <v>50</v>
      </c>
      <c r="I3">
        <v>132</v>
      </c>
      <c r="J3">
        <v>62</v>
      </c>
      <c r="K3" t="s">
        <v>28</v>
      </c>
      <c r="L3" t="s">
        <v>28</v>
      </c>
      <c r="M3" t="s">
        <v>28</v>
      </c>
      <c r="N3" t="s">
        <v>28</v>
      </c>
      <c r="O3" t="s">
        <v>28</v>
      </c>
      <c r="P3" t="s">
        <v>28</v>
      </c>
      <c r="Q3" t="s">
        <v>28</v>
      </c>
      <c r="R3" t="s">
        <v>29</v>
      </c>
      <c r="S3" t="s">
        <v>28</v>
      </c>
      <c r="T3" t="s">
        <v>30</v>
      </c>
      <c r="U3" t="s">
        <v>38</v>
      </c>
      <c r="V3" t="s">
        <v>28</v>
      </c>
      <c r="W3" t="s">
        <v>32</v>
      </c>
    </row>
    <row r="4" spans="1:23" x14ac:dyDescent="0.45">
      <c r="A4" t="str" cm="1">
        <f t="array" ref="A4">_xlfn.IFS(B4&lt;30, "18-29", B4&lt;45,"30-44",B4&gt;=45,"45-55+")</f>
        <v>18-29</v>
      </c>
      <c r="B4">
        <v>27</v>
      </c>
      <c r="C4" t="s">
        <v>33</v>
      </c>
      <c r="D4" t="s">
        <v>23</v>
      </c>
      <c r="E4" t="s">
        <v>44</v>
      </c>
      <c r="F4" t="s">
        <v>41</v>
      </c>
      <c r="G4" t="s">
        <v>26</v>
      </c>
      <c r="H4" t="s">
        <v>98</v>
      </c>
      <c r="I4">
        <v>170</v>
      </c>
      <c r="J4">
        <v>91</v>
      </c>
      <c r="K4" t="s">
        <v>28</v>
      </c>
      <c r="L4" t="s">
        <v>28</v>
      </c>
      <c r="M4" t="s">
        <v>29</v>
      </c>
      <c r="N4" t="s">
        <v>29</v>
      </c>
      <c r="O4" t="s">
        <v>29</v>
      </c>
      <c r="P4" t="s">
        <v>28</v>
      </c>
      <c r="Q4" t="s">
        <v>28</v>
      </c>
      <c r="R4" t="s">
        <v>28</v>
      </c>
      <c r="S4" t="s">
        <v>28</v>
      </c>
      <c r="T4" t="s">
        <v>30</v>
      </c>
      <c r="U4" t="s">
        <v>31</v>
      </c>
      <c r="V4" t="s">
        <v>28</v>
      </c>
      <c r="W4" t="s">
        <v>32</v>
      </c>
    </row>
    <row r="5" spans="1:23" x14ac:dyDescent="0.45">
      <c r="A5" t="str" cm="1">
        <f t="array" ref="A5">_xlfn.IFS(B5&lt;30, "18-29", B5&lt;45,"30-44",B5&gt;=45,"45-55+")</f>
        <v>18-29</v>
      </c>
      <c r="B5">
        <v>29</v>
      </c>
      <c r="C5" t="s">
        <v>22</v>
      </c>
      <c r="D5" t="s">
        <v>40</v>
      </c>
      <c r="E5" t="s">
        <v>24</v>
      </c>
      <c r="F5" t="s">
        <v>36</v>
      </c>
      <c r="G5" t="s">
        <v>26</v>
      </c>
      <c r="H5" t="s">
        <v>71</v>
      </c>
      <c r="I5">
        <v>133</v>
      </c>
      <c r="J5">
        <v>96</v>
      </c>
      <c r="K5" t="s">
        <v>28</v>
      </c>
      <c r="L5" t="s">
        <v>29</v>
      </c>
      <c r="M5" t="s">
        <v>28</v>
      </c>
      <c r="N5" t="s">
        <v>28</v>
      </c>
      <c r="O5" t="s">
        <v>28</v>
      </c>
      <c r="P5" t="s">
        <v>28</v>
      </c>
      <c r="Q5" t="s">
        <v>28</v>
      </c>
      <c r="R5" t="s">
        <v>28</v>
      </c>
      <c r="S5" t="s">
        <v>28</v>
      </c>
      <c r="T5" t="s">
        <v>30</v>
      </c>
      <c r="U5" t="s">
        <v>38</v>
      </c>
      <c r="V5" t="s">
        <v>28</v>
      </c>
      <c r="W5" t="s">
        <v>39</v>
      </c>
    </row>
    <row r="6" spans="1:23" x14ac:dyDescent="0.45">
      <c r="A6" t="str" cm="1">
        <f t="array" ref="A6">_xlfn.IFS(B6&lt;30, "18-29", B6&lt;45,"30-44",B6&gt;=45,"45-55+")</f>
        <v>18-29</v>
      </c>
      <c r="B6">
        <v>29</v>
      </c>
      <c r="C6" t="s">
        <v>33</v>
      </c>
      <c r="D6" t="s">
        <v>34</v>
      </c>
      <c r="E6" t="s">
        <v>44</v>
      </c>
      <c r="F6" t="s">
        <v>41</v>
      </c>
      <c r="G6" t="s">
        <v>51</v>
      </c>
      <c r="H6" t="s">
        <v>52</v>
      </c>
      <c r="I6">
        <v>129</v>
      </c>
      <c r="J6">
        <v>72</v>
      </c>
      <c r="K6" t="s">
        <v>28</v>
      </c>
      <c r="L6" t="s">
        <v>28</v>
      </c>
      <c r="M6" t="s">
        <v>29</v>
      </c>
      <c r="N6" t="s">
        <v>28</v>
      </c>
      <c r="O6" t="s">
        <v>28</v>
      </c>
      <c r="P6" t="s">
        <v>28</v>
      </c>
      <c r="Q6" t="s">
        <v>28</v>
      </c>
      <c r="R6" t="s">
        <v>28</v>
      </c>
      <c r="S6" t="s">
        <v>28</v>
      </c>
      <c r="T6" t="s">
        <v>30</v>
      </c>
      <c r="U6" t="s">
        <v>31</v>
      </c>
      <c r="V6" t="s">
        <v>29</v>
      </c>
      <c r="W6" t="s">
        <v>32</v>
      </c>
    </row>
    <row r="7" spans="1:23" x14ac:dyDescent="0.45">
      <c r="A7" t="str" cm="1">
        <f t="array" ref="A7">_xlfn.IFS(B7&lt;30, "18-29", B7&lt;45,"30-44",B7&gt;=45,"45-55+")</f>
        <v>30-44</v>
      </c>
      <c r="B7">
        <v>30</v>
      </c>
      <c r="C7" t="s">
        <v>22</v>
      </c>
      <c r="D7" t="s">
        <v>61</v>
      </c>
      <c r="E7" t="s">
        <v>44</v>
      </c>
      <c r="F7" t="s">
        <v>41</v>
      </c>
      <c r="G7" t="s">
        <v>26</v>
      </c>
      <c r="H7" t="s">
        <v>84</v>
      </c>
      <c r="I7">
        <v>138</v>
      </c>
      <c r="J7">
        <v>83</v>
      </c>
      <c r="K7" t="s">
        <v>28</v>
      </c>
      <c r="L7" t="s">
        <v>28</v>
      </c>
      <c r="M7" t="s">
        <v>29</v>
      </c>
      <c r="N7" t="s">
        <v>28</v>
      </c>
      <c r="O7" t="s">
        <v>28</v>
      </c>
      <c r="P7" t="s">
        <v>28</v>
      </c>
      <c r="Q7" t="s">
        <v>28</v>
      </c>
      <c r="R7" t="s">
        <v>28</v>
      </c>
      <c r="S7" t="s">
        <v>28</v>
      </c>
      <c r="T7" t="s">
        <v>30</v>
      </c>
      <c r="U7" t="s">
        <v>31</v>
      </c>
      <c r="V7" t="s">
        <v>28</v>
      </c>
      <c r="W7" t="s">
        <v>39</v>
      </c>
    </row>
    <row r="8" spans="1:23" x14ac:dyDescent="0.45">
      <c r="A8" t="str" cm="1">
        <f t="array" ref="A8">_xlfn.IFS(B8&lt;30, "18-29", B8&lt;45,"30-44",B8&gt;=45,"45-55+")</f>
        <v>30-44</v>
      </c>
      <c r="B8">
        <v>30</v>
      </c>
      <c r="C8" t="s">
        <v>22</v>
      </c>
      <c r="D8" t="s">
        <v>34</v>
      </c>
      <c r="E8" t="s">
        <v>60</v>
      </c>
      <c r="F8" t="s">
        <v>36</v>
      </c>
      <c r="G8" t="s">
        <v>51</v>
      </c>
      <c r="H8" t="s">
        <v>74</v>
      </c>
      <c r="I8">
        <v>145</v>
      </c>
      <c r="J8">
        <v>105</v>
      </c>
      <c r="K8" t="s">
        <v>28</v>
      </c>
      <c r="L8" t="s">
        <v>28</v>
      </c>
      <c r="M8" t="s">
        <v>29</v>
      </c>
      <c r="N8" t="s">
        <v>28</v>
      </c>
      <c r="O8" t="s">
        <v>28</v>
      </c>
      <c r="P8" t="s">
        <v>28</v>
      </c>
      <c r="Q8" t="s">
        <v>28</v>
      </c>
      <c r="R8" t="s">
        <v>28</v>
      </c>
      <c r="S8" t="s">
        <v>28</v>
      </c>
      <c r="T8" t="s">
        <v>46</v>
      </c>
      <c r="U8" t="s">
        <v>31</v>
      </c>
      <c r="V8" t="s">
        <v>29</v>
      </c>
      <c r="W8" t="s">
        <v>39</v>
      </c>
    </row>
    <row r="9" spans="1:23" x14ac:dyDescent="0.45">
      <c r="A9" t="str" cm="1">
        <f t="array" ref="A9">_xlfn.IFS(B9&lt;30, "18-29", B9&lt;45,"30-44",B9&gt;=45,"45-55+")</f>
        <v>30-44</v>
      </c>
      <c r="B9">
        <v>30</v>
      </c>
      <c r="C9" t="s">
        <v>22</v>
      </c>
      <c r="D9" t="s">
        <v>23</v>
      </c>
      <c r="E9" t="s">
        <v>44</v>
      </c>
      <c r="F9" t="s">
        <v>53</v>
      </c>
      <c r="G9" t="s">
        <v>42</v>
      </c>
      <c r="H9" t="s">
        <v>88</v>
      </c>
      <c r="I9">
        <v>136</v>
      </c>
      <c r="J9">
        <v>99</v>
      </c>
      <c r="K9" t="s">
        <v>28</v>
      </c>
      <c r="L9" t="s">
        <v>28</v>
      </c>
      <c r="M9" t="s">
        <v>28</v>
      </c>
      <c r="N9" t="s">
        <v>28</v>
      </c>
      <c r="O9" t="s">
        <v>28</v>
      </c>
      <c r="P9" t="s">
        <v>28</v>
      </c>
      <c r="Q9" t="s">
        <v>28</v>
      </c>
      <c r="R9" t="s">
        <v>28</v>
      </c>
      <c r="S9" t="s">
        <v>28</v>
      </c>
      <c r="T9" t="s">
        <v>30</v>
      </c>
      <c r="U9" t="s">
        <v>31</v>
      </c>
      <c r="V9" t="s">
        <v>29</v>
      </c>
      <c r="W9" t="s">
        <v>39</v>
      </c>
    </row>
    <row r="10" spans="1:23" x14ac:dyDescent="0.45">
      <c r="A10" t="str" cm="1">
        <f t="array" ref="A10">_xlfn.IFS(B10&lt;30, "18-29", B10&lt;45,"30-44",B10&gt;=45,"45-55+")</f>
        <v>30-44</v>
      </c>
      <c r="B10">
        <v>34</v>
      </c>
      <c r="C10" t="s">
        <v>22</v>
      </c>
      <c r="D10" t="s">
        <v>34</v>
      </c>
      <c r="E10" t="s">
        <v>24</v>
      </c>
      <c r="F10" t="s">
        <v>41</v>
      </c>
      <c r="G10" t="s">
        <v>42</v>
      </c>
      <c r="H10" t="s">
        <v>97</v>
      </c>
      <c r="I10">
        <v>130</v>
      </c>
      <c r="J10">
        <v>90</v>
      </c>
      <c r="K10" t="s">
        <v>28</v>
      </c>
      <c r="L10" t="s">
        <v>28</v>
      </c>
      <c r="M10" t="s">
        <v>29</v>
      </c>
      <c r="N10" t="s">
        <v>28</v>
      </c>
      <c r="O10" t="s">
        <v>28</v>
      </c>
      <c r="P10" t="s">
        <v>28</v>
      </c>
      <c r="Q10" t="s">
        <v>29</v>
      </c>
      <c r="R10" t="s">
        <v>28</v>
      </c>
      <c r="S10" t="s">
        <v>28</v>
      </c>
      <c r="T10" t="s">
        <v>30</v>
      </c>
      <c r="U10" t="s">
        <v>31</v>
      </c>
      <c r="V10" t="s">
        <v>29</v>
      </c>
      <c r="W10" t="s">
        <v>32</v>
      </c>
    </row>
    <row r="11" spans="1:23" x14ac:dyDescent="0.45">
      <c r="A11" t="str" cm="1">
        <f t="array" ref="A11">_xlfn.IFS(B11&lt;30, "18-29", B11&lt;45,"30-44",B11&gt;=45,"45-55+")</f>
        <v>30-44</v>
      </c>
      <c r="B11">
        <v>35</v>
      </c>
      <c r="C11" t="s">
        <v>33</v>
      </c>
      <c r="D11" t="s">
        <v>23</v>
      </c>
      <c r="E11" t="s">
        <v>55</v>
      </c>
      <c r="F11" t="s">
        <v>25</v>
      </c>
      <c r="G11" t="s">
        <v>42</v>
      </c>
      <c r="H11" t="s">
        <v>80</v>
      </c>
      <c r="I11">
        <v>148</v>
      </c>
      <c r="J11">
        <v>84</v>
      </c>
      <c r="K11" t="s">
        <v>28</v>
      </c>
      <c r="L11" t="s">
        <v>28</v>
      </c>
      <c r="M11" t="s">
        <v>29</v>
      </c>
      <c r="N11" t="s">
        <v>28</v>
      </c>
      <c r="O11" t="s">
        <v>28</v>
      </c>
      <c r="P11" t="s">
        <v>28</v>
      </c>
      <c r="Q11" t="s">
        <v>28</v>
      </c>
      <c r="R11" t="s">
        <v>28</v>
      </c>
      <c r="S11" t="s">
        <v>28</v>
      </c>
      <c r="T11" t="s">
        <v>46</v>
      </c>
      <c r="U11" t="s">
        <v>38</v>
      </c>
      <c r="V11" t="s">
        <v>29</v>
      </c>
      <c r="W11" t="s">
        <v>39</v>
      </c>
    </row>
    <row r="12" spans="1:23" x14ac:dyDescent="0.45">
      <c r="A12" t="str" cm="1">
        <f t="array" ref="A12">_xlfn.IFS(B12&lt;30, "18-29", B12&lt;45,"30-44",B12&gt;=45,"45-55+")</f>
        <v>30-44</v>
      </c>
      <c r="B12">
        <v>35</v>
      </c>
      <c r="C12" t="s">
        <v>33</v>
      </c>
      <c r="D12" t="s">
        <v>85</v>
      </c>
      <c r="E12" t="s">
        <v>44</v>
      </c>
      <c r="F12" t="s">
        <v>41</v>
      </c>
      <c r="G12" t="s">
        <v>42</v>
      </c>
      <c r="H12" t="s">
        <v>86</v>
      </c>
      <c r="I12">
        <v>164</v>
      </c>
      <c r="J12">
        <v>103</v>
      </c>
      <c r="K12" t="s">
        <v>28</v>
      </c>
      <c r="L12" t="s">
        <v>28</v>
      </c>
      <c r="M12" t="s">
        <v>29</v>
      </c>
      <c r="N12" t="s">
        <v>28</v>
      </c>
      <c r="O12" t="s">
        <v>28</v>
      </c>
      <c r="P12" t="s">
        <v>28</v>
      </c>
      <c r="Q12" t="s">
        <v>28</v>
      </c>
      <c r="R12" t="s">
        <v>28</v>
      </c>
      <c r="S12" t="s">
        <v>28</v>
      </c>
      <c r="T12" t="s">
        <v>30</v>
      </c>
      <c r="U12" t="s">
        <v>38</v>
      </c>
      <c r="V12" t="s">
        <v>29</v>
      </c>
      <c r="W12" t="s">
        <v>32</v>
      </c>
    </row>
    <row r="13" spans="1:23" x14ac:dyDescent="0.45">
      <c r="A13" t="str" cm="1">
        <f t="array" ref="A13">_xlfn.IFS(B13&lt;30, "18-29", B13&lt;45,"30-44",B13&gt;=45,"45-55+")</f>
        <v>30-44</v>
      </c>
      <c r="B13">
        <v>35</v>
      </c>
      <c r="C13" t="s">
        <v>33</v>
      </c>
      <c r="D13" t="s">
        <v>34</v>
      </c>
      <c r="E13" t="s">
        <v>60</v>
      </c>
      <c r="F13" t="s">
        <v>41</v>
      </c>
      <c r="G13" t="s">
        <v>42</v>
      </c>
      <c r="H13" t="s">
        <v>88</v>
      </c>
      <c r="I13">
        <v>159</v>
      </c>
      <c r="J13">
        <v>79</v>
      </c>
      <c r="K13" t="s">
        <v>28</v>
      </c>
      <c r="L13" t="s">
        <v>28</v>
      </c>
      <c r="M13" t="s">
        <v>29</v>
      </c>
      <c r="N13" t="s">
        <v>28</v>
      </c>
      <c r="O13" t="s">
        <v>28</v>
      </c>
      <c r="P13" t="s">
        <v>28</v>
      </c>
      <c r="Q13" t="s">
        <v>28</v>
      </c>
      <c r="R13" t="s">
        <v>28</v>
      </c>
      <c r="S13" t="s">
        <v>28</v>
      </c>
      <c r="T13" t="s">
        <v>30</v>
      </c>
      <c r="U13" t="s">
        <v>31</v>
      </c>
      <c r="V13" t="s">
        <v>29</v>
      </c>
      <c r="W13" t="s">
        <v>32</v>
      </c>
    </row>
    <row r="14" spans="1:23" x14ac:dyDescent="0.45">
      <c r="A14" t="str" cm="1">
        <f t="array" ref="A14">_xlfn.IFS(B14&lt;30, "18-29", B14&lt;45,"30-44",B14&gt;=45,"45-55+")</f>
        <v>30-44</v>
      </c>
      <c r="B14">
        <v>35</v>
      </c>
      <c r="C14" t="s">
        <v>33</v>
      </c>
      <c r="D14" t="s">
        <v>58</v>
      </c>
      <c r="E14" t="s">
        <v>44</v>
      </c>
      <c r="F14" t="s">
        <v>36</v>
      </c>
      <c r="G14" t="s">
        <v>51</v>
      </c>
      <c r="H14" t="s">
        <v>78</v>
      </c>
      <c r="I14">
        <v>113</v>
      </c>
      <c r="J14">
        <v>99</v>
      </c>
      <c r="K14" t="s">
        <v>28</v>
      </c>
      <c r="L14" t="s">
        <v>28</v>
      </c>
      <c r="M14" t="s">
        <v>29</v>
      </c>
      <c r="N14" t="s">
        <v>28</v>
      </c>
      <c r="O14" t="s">
        <v>28</v>
      </c>
      <c r="P14" t="s">
        <v>28</v>
      </c>
      <c r="Q14" t="s">
        <v>28</v>
      </c>
      <c r="R14" t="s">
        <v>28</v>
      </c>
      <c r="S14" t="s">
        <v>28</v>
      </c>
      <c r="T14" t="s">
        <v>30</v>
      </c>
      <c r="U14" t="s">
        <v>31</v>
      </c>
      <c r="V14" t="s">
        <v>28</v>
      </c>
      <c r="W14" t="s">
        <v>32</v>
      </c>
    </row>
    <row r="15" spans="1:23" x14ac:dyDescent="0.45">
      <c r="A15" t="str" cm="1">
        <f t="array" ref="A15">_xlfn.IFS(B15&lt;30, "18-29", B15&lt;45,"30-44",B15&gt;=45,"45-55+")</f>
        <v>30-44</v>
      </c>
      <c r="B15">
        <v>35</v>
      </c>
      <c r="C15" t="s">
        <v>22</v>
      </c>
      <c r="D15" t="s">
        <v>23</v>
      </c>
      <c r="E15" t="s">
        <v>44</v>
      </c>
      <c r="F15" t="s">
        <v>36</v>
      </c>
      <c r="G15" t="s">
        <v>51</v>
      </c>
      <c r="H15" t="s">
        <v>64</v>
      </c>
      <c r="I15">
        <v>155</v>
      </c>
      <c r="J15">
        <v>68</v>
      </c>
      <c r="K15" t="s">
        <v>28</v>
      </c>
      <c r="L15" t="s">
        <v>28</v>
      </c>
      <c r="M15" t="s">
        <v>28</v>
      </c>
      <c r="N15" t="s">
        <v>29</v>
      </c>
      <c r="O15" t="s">
        <v>28</v>
      </c>
      <c r="P15" t="s">
        <v>28</v>
      </c>
      <c r="Q15" t="s">
        <v>28</v>
      </c>
      <c r="R15" t="s">
        <v>28</v>
      </c>
      <c r="S15" t="s">
        <v>28</v>
      </c>
      <c r="T15" t="s">
        <v>30</v>
      </c>
      <c r="U15" t="s">
        <v>38</v>
      </c>
      <c r="V15" t="s">
        <v>28</v>
      </c>
      <c r="W15" t="s">
        <v>32</v>
      </c>
    </row>
    <row r="16" spans="1:23" x14ac:dyDescent="0.45">
      <c r="A16" t="str" cm="1">
        <f t="array" ref="A16">_xlfn.IFS(B16&lt;30, "18-29", B16&lt;45,"30-44",B16&gt;=45,"45-55+")</f>
        <v>30-44</v>
      </c>
      <c r="B16">
        <v>35</v>
      </c>
      <c r="C16" t="s">
        <v>33</v>
      </c>
      <c r="D16" t="s">
        <v>58</v>
      </c>
      <c r="E16" t="s">
        <v>24</v>
      </c>
      <c r="F16" t="s">
        <v>41</v>
      </c>
      <c r="G16" t="s">
        <v>51</v>
      </c>
      <c r="H16" t="s">
        <v>99</v>
      </c>
      <c r="I16">
        <v>152</v>
      </c>
      <c r="J16">
        <v>86</v>
      </c>
      <c r="K16" t="s">
        <v>28</v>
      </c>
      <c r="L16" t="s">
        <v>28</v>
      </c>
      <c r="M16" t="s">
        <v>29</v>
      </c>
      <c r="N16" t="s">
        <v>28</v>
      </c>
      <c r="O16" t="s">
        <v>28</v>
      </c>
      <c r="P16" t="s">
        <v>28</v>
      </c>
      <c r="Q16" t="s">
        <v>28</v>
      </c>
      <c r="R16" t="s">
        <v>28</v>
      </c>
      <c r="S16" t="s">
        <v>28</v>
      </c>
      <c r="T16" t="s">
        <v>30</v>
      </c>
      <c r="U16" t="s">
        <v>31</v>
      </c>
      <c r="V16" t="s">
        <v>29</v>
      </c>
      <c r="W16" t="s">
        <v>39</v>
      </c>
    </row>
    <row r="17" spans="1:23" x14ac:dyDescent="0.45">
      <c r="A17" t="str" cm="1">
        <f t="array" ref="A17">_xlfn.IFS(B17&lt;30, "18-29", B17&lt;45,"30-44",B17&gt;=45,"45-55+")</f>
        <v>30-44</v>
      </c>
      <c r="B17">
        <v>36</v>
      </c>
      <c r="C17" t="s">
        <v>33</v>
      </c>
      <c r="D17" t="s">
        <v>58</v>
      </c>
      <c r="E17" t="s">
        <v>35</v>
      </c>
      <c r="F17" t="s">
        <v>41</v>
      </c>
      <c r="G17" t="s">
        <v>51</v>
      </c>
      <c r="H17" t="s">
        <v>59</v>
      </c>
      <c r="I17">
        <v>138</v>
      </c>
      <c r="J17">
        <v>89</v>
      </c>
      <c r="K17" t="s">
        <v>28</v>
      </c>
      <c r="L17" t="s">
        <v>28</v>
      </c>
      <c r="M17" t="s">
        <v>29</v>
      </c>
      <c r="N17" t="s">
        <v>28</v>
      </c>
      <c r="O17" t="s">
        <v>28</v>
      </c>
      <c r="P17" t="s">
        <v>28</v>
      </c>
      <c r="Q17" t="s">
        <v>28</v>
      </c>
      <c r="R17" t="s">
        <v>28</v>
      </c>
      <c r="S17" t="s">
        <v>28</v>
      </c>
      <c r="T17" t="s">
        <v>30</v>
      </c>
      <c r="U17" t="s">
        <v>31</v>
      </c>
      <c r="V17" t="s">
        <v>29</v>
      </c>
      <c r="W17" t="s">
        <v>32</v>
      </c>
    </row>
    <row r="18" spans="1:23" x14ac:dyDescent="0.45">
      <c r="A18" t="str" cm="1">
        <f t="array" ref="A18">_xlfn.IFS(B18&lt;30, "18-29", B18&lt;45,"30-44",B18&gt;=45,"45-55+")</f>
        <v>30-44</v>
      </c>
      <c r="B18">
        <v>37</v>
      </c>
      <c r="C18" t="s">
        <v>33</v>
      </c>
      <c r="D18" t="s">
        <v>34</v>
      </c>
      <c r="E18" t="s">
        <v>35</v>
      </c>
      <c r="F18" t="s">
        <v>36</v>
      </c>
      <c r="G18" t="s">
        <v>26</v>
      </c>
      <c r="H18" t="s">
        <v>75</v>
      </c>
      <c r="I18">
        <v>149</v>
      </c>
      <c r="J18">
        <v>86</v>
      </c>
      <c r="K18" t="s">
        <v>29</v>
      </c>
      <c r="L18" t="s">
        <v>28</v>
      </c>
      <c r="M18" t="s">
        <v>29</v>
      </c>
      <c r="N18" t="s">
        <v>28</v>
      </c>
      <c r="O18" t="s">
        <v>28</v>
      </c>
      <c r="P18" t="s">
        <v>28</v>
      </c>
      <c r="Q18" t="s">
        <v>29</v>
      </c>
      <c r="R18" t="s">
        <v>28</v>
      </c>
      <c r="S18" t="s">
        <v>28</v>
      </c>
      <c r="T18" t="s">
        <v>30</v>
      </c>
      <c r="U18" t="s">
        <v>38</v>
      </c>
      <c r="V18" t="s">
        <v>29</v>
      </c>
      <c r="W18" t="s">
        <v>39</v>
      </c>
    </row>
    <row r="19" spans="1:23" x14ac:dyDescent="0.45">
      <c r="A19" t="str" cm="1">
        <f t="array" ref="A19">_xlfn.IFS(B19&lt;30, "18-29", B19&lt;45,"30-44",B19&gt;=45,"45-55+")</f>
        <v>30-44</v>
      </c>
      <c r="B19">
        <v>37</v>
      </c>
      <c r="C19" t="s">
        <v>22</v>
      </c>
      <c r="D19" t="s">
        <v>23</v>
      </c>
      <c r="E19" t="s">
        <v>35</v>
      </c>
      <c r="F19" t="s">
        <v>36</v>
      </c>
      <c r="G19" t="s">
        <v>26</v>
      </c>
      <c r="H19" t="s">
        <v>91</v>
      </c>
      <c r="I19">
        <v>119</v>
      </c>
      <c r="J19">
        <v>74</v>
      </c>
      <c r="K19" t="s">
        <v>28</v>
      </c>
      <c r="L19" t="s">
        <v>28</v>
      </c>
      <c r="M19" t="s">
        <v>29</v>
      </c>
      <c r="N19" t="s">
        <v>28</v>
      </c>
      <c r="O19" t="s">
        <v>28</v>
      </c>
      <c r="P19" t="s">
        <v>28</v>
      </c>
      <c r="Q19" t="s">
        <v>28</v>
      </c>
      <c r="R19" t="s">
        <v>28</v>
      </c>
      <c r="S19" t="s">
        <v>28</v>
      </c>
      <c r="T19" t="s">
        <v>30</v>
      </c>
      <c r="U19" t="s">
        <v>31</v>
      </c>
      <c r="V19" t="s">
        <v>29</v>
      </c>
      <c r="W19" t="s">
        <v>39</v>
      </c>
    </row>
    <row r="20" spans="1:23" x14ac:dyDescent="0.45">
      <c r="A20" t="str" cm="1">
        <f t="array" ref="A20">_xlfn.IFS(B20&lt;30, "18-29", B20&lt;45,"30-44",B20&gt;=45,"45-55+")</f>
        <v>30-44</v>
      </c>
      <c r="B20">
        <v>37</v>
      </c>
      <c r="C20" t="s">
        <v>22</v>
      </c>
      <c r="D20" t="s">
        <v>58</v>
      </c>
      <c r="E20" t="s">
        <v>60</v>
      </c>
      <c r="F20" t="s">
        <v>36</v>
      </c>
      <c r="G20" t="s">
        <v>42</v>
      </c>
      <c r="H20" t="s">
        <v>101</v>
      </c>
      <c r="I20">
        <v>156</v>
      </c>
      <c r="J20">
        <v>79</v>
      </c>
      <c r="K20" t="s">
        <v>28</v>
      </c>
      <c r="L20" t="s">
        <v>28</v>
      </c>
      <c r="M20" t="s">
        <v>29</v>
      </c>
      <c r="N20" t="s">
        <v>28</v>
      </c>
      <c r="O20" t="s">
        <v>28</v>
      </c>
      <c r="P20" t="s">
        <v>28</v>
      </c>
      <c r="Q20" t="s">
        <v>28</v>
      </c>
      <c r="R20" t="s">
        <v>28</v>
      </c>
      <c r="S20" t="s">
        <v>28</v>
      </c>
      <c r="T20" t="s">
        <v>46</v>
      </c>
      <c r="U20" t="s">
        <v>31</v>
      </c>
      <c r="V20" t="s">
        <v>29</v>
      </c>
      <c r="W20" t="s">
        <v>32</v>
      </c>
    </row>
    <row r="21" spans="1:23" x14ac:dyDescent="0.45">
      <c r="A21" t="str" cm="1">
        <f t="array" ref="A21">_xlfn.IFS(B21&lt;30, "18-29", B21&lt;45,"30-44",B21&gt;=45,"45-55+")</f>
        <v>30-44</v>
      </c>
      <c r="B21">
        <v>38</v>
      </c>
      <c r="C21" t="s">
        <v>22</v>
      </c>
      <c r="D21" t="s">
        <v>49</v>
      </c>
      <c r="E21" t="s">
        <v>55</v>
      </c>
      <c r="F21" t="s">
        <v>36</v>
      </c>
      <c r="G21" t="s">
        <v>26</v>
      </c>
      <c r="H21" t="s">
        <v>68</v>
      </c>
      <c r="I21">
        <v>143</v>
      </c>
      <c r="J21">
        <v>91</v>
      </c>
      <c r="K21" t="s">
        <v>28</v>
      </c>
      <c r="L21" t="s">
        <v>28</v>
      </c>
      <c r="M21" t="s">
        <v>29</v>
      </c>
      <c r="N21" t="s">
        <v>28</v>
      </c>
      <c r="O21" t="s">
        <v>28</v>
      </c>
      <c r="P21" t="s">
        <v>28</v>
      </c>
      <c r="Q21" t="s">
        <v>28</v>
      </c>
      <c r="R21" t="s">
        <v>28</v>
      </c>
      <c r="S21" t="s">
        <v>28</v>
      </c>
      <c r="T21" t="s">
        <v>30</v>
      </c>
      <c r="U21" t="s">
        <v>31</v>
      </c>
      <c r="V21" t="s">
        <v>28</v>
      </c>
      <c r="W21" t="s">
        <v>39</v>
      </c>
    </row>
    <row r="22" spans="1:23" x14ac:dyDescent="0.45">
      <c r="A22" t="str" cm="1">
        <f t="array" ref="A22">_xlfn.IFS(B22&lt;30, "18-29", B22&lt;45,"30-44",B22&gt;=45,"45-55+")</f>
        <v>30-44</v>
      </c>
      <c r="B22">
        <v>38</v>
      </c>
      <c r="C22" t="s">
        <v>22</v>
      </c>
      <c r="D22" t="s">
        <v>34</v>
      </c>
      <c r="E22" t="s">
        <v>44</v>
      </c>
      <c r="F22" t="s">
        <v>36</v>
      </c>
      <c r="G22" t="s">
        <v>51</v>
      </c>
      <c r="H22" t="s">
        <v>69</v>
      </c>
      <c r="I22">
        <v>130</v>
      </c>
      <c r="J22">
        <v>89</v>
      </c>
      <c r="K22" t="s">
        <v>28</v>
      </c>
      <c r="L22" t="s">
        <v>28</v>
      </c>
      <c r="M22" t="s">
        <v>29</v>
      </c>
      <c r="N22" t="s">
        <v>28</v>
      </c>
      <c r="O22" t="s">
        <v>28</v>
      </c>
      <c r="P22" t="s">
        <v>28</v>
      </c>
      <c r="Q22" t="s">
        <v>28</v>
      </c>
      <c r="R22" t="s">
        <v>28</v>
      </c>
      <c r="S22" t="s">
        <v>28</v>
      </c>
      <c r="T22" t="s">
        <v>30</v>
      </c>
      <c r="U22" t="s">
        <v>31</v>
      </c>
      <c r="V22" t="s">
        <v>29</v>
      </c>
      <c r="W22" t="s">
        <v>39</v>
      </c>
    </row>
    <row r="23" spans="1:23" x14ac:dyDescent="0.45">
      <c r="A23" t="str" cm="1">
        <f t="array" ref="A23">_xlfn.IFS(B23&lt;30, "18-29", B23&lt;45,"30-44",B23&gt;=45,"45-55+")</f>
        <v>30-44</v>
      </c>
      <c r="B23">
        <v>38</v>
      </c>
      <c r="C23" t="s">
        <v>22</v>
      </c>
      <c r="D23" t="s">
        <v>49</v>
      </c>
      <c r="E23" t="s">
        <v>44</v>
      </c>
      <c r="F23" t="s">
        <v>41</v>
      </c>
      <c r="G23" t="s">
        <v>26</v>
      </c>
      <c r="H23" t="s">
        <v>66</v>
      </c>
      <c r="I23">
        <v>150</v>
      </c>
      <c r="J23">
        <v>91</v>
      </c>
      <c r="K23" t="s">
        <v>28</v>
      </c>
      <c r="L23" t="s">
        <v>28</v>
      </c>
      <c r="M23" t="s">
        <v>29</v>
      </c>
      <c r="N23" t="s">
        <v>29</v>
      </c>
      <c r="O23" t="s">
        <v>28</v>
      </c>
      <c r="P23" t="s">
        <v>28</v>
      </c>
      <c r="Q23" t="s">
        <v>28</v>
      </c>
      <c r="R23" t="s">
        <v>28</v>
      </c>
      <c r="S23" t="s">
        <v>28</v>
      </c>
      <c r="T23" t="s">
        <v>30</v>
      </c>
      <c r="U23" t="s">
        <v>38</v>
      </c>
      <c r="V23" t="s">
        <v>29</v>
      </c>
      <c r="W23" t="s">
        <v>32</v>
      </c>
    </row>
    <row r="24" spans="1:23" x14ac:dyDescent="0.45">
      <c r="A24" t="str" cm="1">
        <f t="array" ref="A24">_xlfn.IFS(B24&lt;30, "18-29", B24&lt;45,"30-44",B24&gt;=45,"45-55+")</f>
        <v>30-44</v>
      </c>
      <c r="B24">
        <v>38</v>
      </c>
      <c r="C24" t="s">
        <v>33</v>
      </c>
      <c r="D24" t="s">
        <v>49</v>
      </c>
      <c r="E24" t="s">
        <v>55</v>
      </c>
      <c r="F24" t="s">
        <v>53</v>
      </c>
      <c r="G24" t="s">
        <v>51</v>
      </c>
      <c r="H24" t="s">
        <v>99</v>
      </c>
      <c r="I24">
        <v>148</v>
      </c>
      <c r="J24">
        <v>74</v>
      </c>
      <c r="K24" t="s">
        <v>28</v>
      </c>
      <c r="L24" t="s">
        <v>28</v>
      </c>
      <c r="M24" t="s">
        <v>29</v>
      </c>
      <c r="N24" t="s">
        <v>28</v>
      </c>
      <c r="O24" t="s">
        <v>28</v>
      </c>
      <c r="P24" t="s">
        <v>28</v>
      </c>
      <c r="Q24" t="s">
        <v>29</v>
      </c>
      <c r="R24" t="s">
        <v>29</v>
      </c>
      <c r="S24" t="s">
        <v>28</v>
      </c>
      <c r="T24" t="s">
        <v>30</v>
      </c>
      <c r="U24" t="s">
        <v>31</v>
      </c>
      <c r="V24" t="s">
        <v>28</v>
      </c>
      <c r="W24" t="s">
        <v>32</v>
      </c>
    </row>
    <row r="25" spans="1:23" x14ac:dyDescent="0.45">
      <c r="A25" t="str" cm="1">
        <f t="array" ref="A25">_xlfn.IFS(B25&lt;30, "18-29", B25&lt;45,"30-44",B25&gt;=45,"45-55+")</f>
        <v>30-44</v>
      </c>
      <c r="B25">
        <v>39</v>
      </c>
      <c r="C25" t="s">
        <v>33</v>
      </c>
      <c r="D25" t="s">
        <v>23</v>
      </c>
      <c r="E25" t="s">
        <v>24</v>
      </c>
      <c r="F25" t="s">
        <v>25</v>
      </c>
      <c r="G25" t="s">
        <v>26</v>
      </c>
      <c r="H25" t="s">
        <v>48</v>
      </c>
      <c r="I25">
        <v>146</v>
      </c>
      <c r="J25">
        <v>94</v>
      </c>
      <c r="K25" t="s">
        <v>28</v>
      </c>
      <c r="L25" t="s">
        <v>28</v>
      </c>
      <c r="M25" t="s">
        <v>29</v>
      </c>
      <c r="N25" t="s">
        <v>28</v>
      </c>
      <c r="O25" t="s">
        <v>28</v>
      </c>
      <c r="P25" t="s">
        <v>28</v>
      </c>
      <c r="Q25" t="s">
        <v>29</v>
      </c>
      <c r="R25" t="s">
        <v>28</v>
      </c>
      <c r="S25" t="s">
        <v>28</v>
      </c>
      <c r="T25" t="s">
        <v>46</v>
      </c>
      <c r="U25" t="s">
        <v>38</v>
      </c>
      <c r="V25" t="s">
        <v>29</v>
      </c>
      <c r="W25" t="s">
        <v>32</v>
      </c>
    </row>
    <row r="26" spans="1:23" x14ac:dyDescent="0.45">
      <c r="A26" t="str" cm="1">
        <f t="array" ref="A26">_xlfn.IFS(B26&lt;30, "18-29", B26&lt;45,"30-44",B26&gt;=45,"45-55+")</f>
        <v>30-44</v>
      </c>
      <c r="B26">
        <v>39</v>
      </c>
      <c r="C26" t="s">
        <v>22</v>
      </c>
      <c r="D26" t="s">
        <v>58</v>
      </c>
      <c r="E26" t="s">
        <v>44</v>
      </c>
      <c r="F26" t="s">
        <v>41</v>
      </c>
      <c r="G26" t="s">
        <v>26</v>
      </c>
      <c r="H26" t="s">
        <v>37</v>
      </c>
      <c r="I26">
        <v>133</v>
      </c>
      <c r="J26">
        <v>86</v>
      </c>
      <c r="K26" t="s">
        <v>29</v>
      </c>
      <c r="L26" t="s">
        <v>28</v>
      </c>
      <c r="M26" t="s">
        <v>29</v>
      </c>
      <c r="N26" t="s">
        <v>28</v>
      </c>
      <c r="O26" t="s">
        <v>28</v>
      </c>
      <c r="P26" t="s">
        <v>28</v>
      </c>
      <c r="Q26" t="s">
        <v>28</v>
      </c>
      <c r="R26" t="s">
        <v>28</v>
      </c>
      <c r="S26" t="s">
        <v>28</v>
      </c>
      <c r="T26" t="s">
        <v>30</v>
      </c>
      <c r="U26" t="s">
        <v>31</v>
      </c>
      <c r="V26" t="s">
        <v>29</v>
      </c>
      <c r="W26" t="s">
        <v>32</v>
      </c>
    </row>
    <row r="27" spans="1:23" x14ac:dyDescent="0.45">
      <c r="A27" t="str" cm="1">
        <f t="array" ref="A27">_xlfn.IFS(B27&lt;30, "18-29", B27&lt;45,"30-44",B27&gt;=45,"45-55+")</f>
        <v>30-44</v>
      </c>
      <c r="B27">
        <v>39</v>
      </c>
      <c r="C27" t="s">
        <v>33</v>
      </c>
      <c r="D27" t="s">
        <v>40</v>
      </c>
      <c r="E27" t="s">
        <v>24</v>
      </c>
      <c r="F27" t="s">
        <v>25</v>
      </c>
      <c r="G27" t="s">
        <v>51</v>
      </c>
      <c r="H27" t="s">
        <v>59</v>
      </c>
      <c r="I27">
        <v>154</v>
      </c>
      <c r="J27">
        <v>85</v>
      </c>
      <c r="K27" t="s">
        <v>28</v>
      </c>
      <c r="L27" t="s">
        <v>28</v>
      </c>
      <c r="M27" t="s">
        <v>28</v>
      </c>
      <c r="N27" t="s">
        <v>28</v>
      </c>
      <c r="O27" t="s">
        <v>28</v>
      </c>
      <c r="P27" t="s">
        <v>28</v>
      </c>
      <c r="Q27" t="s">
        <v>29</v>
      </c>
      <c r="R27" t="s">
        <v>28</v>
      </c>
      <c r="S27" t="s">
        <v>28</v>
      </c>
      <c r="T27" t="s">
        <v>30</v>
      </c>
      <c r="U27" t="s">
        <v>31</v>
      </c>
      <c r="V27" t="s">
        <v>28</v>
      </c>
      <c r="W27" t="s">
        <v>39</v>
      </c>
    </row>
    <row r="28" spans="1:23" x14ac:dyDescent="0.45">
      <c r="A28" t="str" cm="1">
        <f t="array" ref="A28">_xlfn.IFS(B28&lt;30, "18-29", B28&lt;45,"30-44",B28&gt;=45,"45-55+")</f>
        <v>30-44</v>
      </c>
      <c r="B28">
        <v>39</v>
      </c>
      <c r="C28" t="s">
        <v>22</v>
      </c>
      <c r="D28" t="s">
        <v>23</v>
      </c>
      <c r="E28" t="s">
        <v>35</v>
      </c>
      <c r="F28" t="s">
        <v>41</v>
      </c>
      <c r="G28" t="s">
        <v>26</v>
      </c>
      <c r="H28" t="s">
        <v>100</v>
      </c>
      <c r="I28">
        <v>158</v>
      </c>
      <c r="J28">
        <v>77</v>
      </c>
      <c r="K28" t="s">
        <v>28</v>
      </c>
      <c r="L28" t="s">
        <v>28</v>
      </c>
      <c r="M28" t="s">
        <v>28</v>
      </c>
      <c r="N28" t="s">
        <v>28</v>
      </c>
      <c r="O28" t="s">
        <v>28</v>
      </c>
      <c r="P28" t="s">
        <v>28</v>
      </c>
      <c r="Q28" t="s">
        <v>28</v>
      </c>
      <c r="R28" t="s">
        <v>28</v>
      </c>
      <c r="S28" t="s">
        <v>28</v>
      </c>
      <c r="T28" t="s">
        <v>46</v>
      </c>
      <c r="U28" t="s">
        <v>31</v>
      </c>
      <c r="V28" t="s">
        <v>28</v>
      </c>
      <c r="W28" t="s">
        <v>39</v>
      </c>
    </row>
    <row r="29" spans="1:23" x14ac:dyDescent="0.45">
      <c r="A29" t="str" cm="1">
        <f t="array" ref="A29">_xlfn.IFS(B29&lt;30, "18-29", B29&lt;45,"30-44",B29&gt;=45,"45-55+")</f>
        <v>30-44</v>
      </c>
      <c r="B29">
        <v>40</v>
      </c>
      <c r="C29" t="s">
        <v>22</v>
      </c>
      <c r="D29" t="s">
        <v>58</v>
      </c>
      <c r="E29" t="s">
        <v>24</v>
      </c>
      <c r="F29" t="s">
        <v>41</v>
      </c>
      <c r="G29" t="s">
        <v>51</v>
      </c>
      <c r="H29" t="s">
        <v>64</v>
      </c>
      <c r="I29">
        <v>133</v>
      </c>
      <c r="J29">
        <v>86</v>
      </c>
      <c r="K29" t="s">
        <v>28</v>
      </c>
      <c r="L29" t="s">
        <v>28</v>
      </c>
      <c r="M29" t="s">
        <v>29</v>
      </c>
      <c r="N29" t="s">
        <v>28</v>
      </c>
      <c r="O29" t="s">
        <v>28</v>
      </c>
      <c r="P29" t="s">
        <v>28</v>
      </c>
      <c r="Q29" t="s">
        <v>28</v>
      </c>
      <c r="R29" t="s">
        <v>28</v>
      </c>
      <c r="S29" t="s">
        <v>28</v>
      </c>
      <c r="T29" t="s">
        <v>30</v>
      </c>
      <c r="U29" t="s">
        <v>31</v>
      </c>
      <c r="V29" t="s">
        <v>29</v>
      </c>
      <c r="W29" t="s">
        <v>39</v>
      </c>
    </row>
    <row r="30" spans="1:23" x14ac:dyDescent="0.45">
      <c r="A30" t="str" cm="1">
        <f t="array" ref="A30">_xlfn.IFS(B30&lt;30, "18-29", B30&lt;45,"30-44",B30&gt;=45,"45-55+")</f>
        <v>30-44</v>
      </c>
      <c r="B30">
        <v>40</v>
      </c>
      <c r="C30" t="s">
        <v>22</v>
      </c>
      <c r="D30" t="s">
        <v>61</v>
      </c>
      <c r="E30" t="s">
        <v>44</v>
      </c>
      <c r="F30" t="s">
        <v>36</v>
      </c>
      <c r="G30" t="s">
        <v>26</v>
      </c>
      <c r="H30" t="s">
        <v>45</v>
      </c>
      <c r="I30">
        <v>164</v>
      </c>
      <c r="J30">
        <v>85</v>
      </c>
      <c r="K30" t="s">
        <v>28</v>
      </c>
      <c r="L30" t="s">
        <v>28</v>
      </c>
      <c r="M30" t="s">
        <v>28</v>
      </c>
      <c r="N30" t="s">
        <v>28</v>
      </c>
      <c r="O30" t="s">
        <v>28</v>
      </c>
      <c r="P30" t="s">
        <v>28</v>
      </c>
      <c r="Q30" t="s">
        <v>28</v>
      </c>
      <c r="R30" t="s">
        <v>28</v>
      </c>
      <c r="S30" t="s">
        <v>28</v>
      </c>
      <c r="T30" t="s">
        <v>46</v>
      </c>
      <c r="U30" t="s">
        <v>31</v>
      </c>
      <c r="V30" t="s">
        <v>29</v>
      </c>
      <c r="W30" t="s">
        <v>39</v>
      </c>
    </row>
    <row r="31" spans="1:23" x14ac:dyDescent="0.45">
      <c r="A31" t="str" cm="1">
        <f t="array" ref="A31">_xlfn.IFS(B31&lt;30, "18-29", B31&lt;45,"30-44",B31&gt;=45,"45-55+")</f>
        <v>30-44</v>
      </c>
      <c r="B31">
        <v>40</v>
      </c>
      <c r="C31" t="s">
        <v>22</v>
      </c>
      <c r="D31" t="s">
        <v>23</v>
      </c>
      <c r="E31" t="s">
        <v>44</v>
      </c>
      <c r="F31" t="s">
        <v>25</v>
      </c>
      <c r="G31" t="s">
        <v>51</v>
      </c>
      <c r="H31" t="s">
        <v>95</v>
      </c>
      <c r="I31">
        <v>120</v>
      </c>
      <c r="J31">
        <v>86</v>
      </c>
      <c r="K31" t="s">
        <v>28</v>
      </c>
      <c r="L31" t="s">
        <v>28</v>
      </c>
      <c r="M31" t="s">
        <v>29</v>
      </c>
      <c r="N31" t="s">
        <v>28</v>
      </c>
      <c r="O31" t="s">
        <v>28</v>
      </c>
      <c r="P31" t="s">
        <v>28</v>
      </c>
      <c r="Q31" t="s">
        <v>29</v>
      </c>
      <c r="R31" t="s">
        <v>28</v>
      </c>
      <c r="S31" t="s">
        <v>28</v>
      </c>
      <c r="T31" t="s">
        <v>46</v>
      </c>
      <c r="U31" t="s">
        <v>31</v>
      </c>
      <c r="V31" t="s">
        <v>29</v>
      </c>
      <c r="W31" t="s">
        <v>32</v>
      </c>
    </row>
    <row r="32" spans="1:23" x14ac:dyDescent="0.45">
      <c r="A32" t="str" cm="1">
        <f t="array" ref="A32">_xlfn.IFS(B32&lt;30, "18-29", B32&lt;45,"30-44",B32&gt;=45,"45-55+")</f>
        <v>30-44</v>
      </c>
      <c r="B32">
        <v>41</v>
      </c>
      <c r="C32" t="s">
        <v>33</v>
      </c>
      <c r="D32" t="s">
        <v>58</v>
      </c>
      <c r="E32" t="s">
        <v>24</v>
      </c>
      <c r="F32" t="s">
        <v>36</v>
      </c>
      <c r="G32" t="s">
        <v>42</v>
      </c>
      <c r="H32" t="s">
        <v>62</v>
      </c>
      <c r="I32">
        <v>135</v>
      </c>
      <c r="J32">
        <v>97</v>
      </c>
      <c r="K32" t="s">
        <v>28</v>
      </c>
      <c r="L32" t="s">
        <v>28</v>
      </c>
      <c r="M32" t="s">
        <v>29</v>
      </c>
      <c r="N32" t="s">
        <v>28</v>
      </c>
      <c r="O32" t="s">
        <v>28</v>
      </c>
      <c r="P32" t="s">
        <v>28</v>
      </c>
      <c r="Q32" t="s">
        <v>28</v>
      </c>
      <c r="R32" t="s">
        <v>28</v>
      </c>
      <c r="S32" t="s">
        <v>28</v>
      </c>
      <c r="T32" t="s">
        <v>30</v>
      </c>
      <c r="U32" t="s">
        <v>31</v>
      </c>
      <c r="V32" t="s">
        <v>29</v>
      </c>
      <c r="W32" t="s">
        <v>39</v>
      </c>
    </row>
    <row r="33" spans="1:23" x14ac:dyDescent="0.45">
      <c r="A33" t="str" cm="1">
        <f t="array" ref="A33">_xlfn.IFS(B33&lt;30, "18-29", B33&lt;45,"30-44",B33&gt;=45,"45-55+")</f>
        <v>30-44</v>
      </c>
      <c r="B33">
        <v>41</v>
      </c>
      <c r="C33" t="s">
        <v>22</v>
      </c>
      <c r="D33" t="s">
        <v>40</v>
      </c>
      <c r="E33" t="s">
        <v>44</v>
      </c>
      <c r="F33" t="s">
        <v>41</v>
      </c>
      <c r="G33" t="s">
        <v>51</v>
      </c>
      <c r="H33" t="s">
        <v>72</v>
      </c>
      <c r="I33">
        <v>132</v>
      </c>
      <c r="J33">
        <v>87</v>
      </c>
      <c r="K33" t="s">
        <v>29</v>
      </c>
      <c r="L33" t="s">
        <v>28</v>
      </c>
      <c r="M33" t="s">
        <v>29</v>
      </c>
      <c r="N33" t="s">
        <v>28</v>
      </c>
      <c r="O33" t="s">
        <v>29</v>
      </c>
      <c r="P33" t="s">
        <v>28</v>
      </c>
      <c r="Q33" t="s">
        <v>29</v>
      </c>
      <c r="R33" t="s">
        <v>28</v>
      </c>
      <c r="S33" t="s">
        <v>28</v>
      </c>
      <c r="T33" t="s">
        <v>46</v>
      </c>
      <c r="U33" t="s">
        <v>31</v>
      </c>
      <c r="V33" t="s">
        <v>29</v>
      </c>
      <c r="W33" t="s">
        <v>32</v>
      </c>
    </row>
    <row r="34" spans="1:23" x14ac:dyDescent="0.45">
      <c r="A34" t="str" cm="1">
        <f t="array" ref="A34">_xlfn.IFS(B34&lt;30, "18-29", B34&lt;45,"30-44",B34&gt;=45,"45-55+")</f>
        <v>30-44</v>
      </c>
      <c r="B34">
        <v>41</v>
      </c>
      <c r="C34" t="s">
        <v>33</v>
      </c>
      <c r="D34" t="s">
        <v>49</v>
      </c>
      <c r="E34" t="s">
        <v>35</v>
      </c>
      <c r="F34" t="s">
        <v>41</v>
      </c>
      <c r="G34" t="s">
        <v>51</v>
      </c>
      <c r="H34" t="s">
        <v>76</v>
      </c>
      <c r="I34">
        <v>139</v>
      </c>
      <c r="J34">
        <v>87</v>
      </c>
      <c r="K34" t="s">
        <v>28</v>
      </c>
      <c r="L34" t="s">
        <v>28</v>
      </c>
      <c r="M34" t="s">
        <v>28</v>
      </c>
      <c r="N34" t="s">
        <v>28</v>
      </c>
      <c r="O34" t="s">
        <v>28</v>
      </c>
      <c r="P34" t="s">
        <v>28</v>
      </c>
      <c r="Q34" t="s">
        <v>29</v>
      </c>
      <c r="R34" t="s">
        <v>28</v>
      </c>
      <c r="S34" t="s">
        <v>28</v>
      </c>
      <c r="T34" t="s">
        <v>30</v>
      </c>
      <c r="U34" t="s">
        <v>31</v>
      </c>
      <c r="V34" t="s">
        <v>29</v>
      </c>
      <c r="W34" t="s">
        <v>32</v>
      </c>
    </row>
    <row r="35" spans="1:23" x14ac:dyDescent="0.45">
      <c r="A35" t="str" cm="1">
        <f t="array" ref="A35">_xlfn.IFS(B35&lt;30, "18-29", B35&lt;45,"30-44",B35&gt;=45,"45-55+")</f>
        <v>30-44</v>
      </c>
      <c r="B35">
        <v>41</v>
      </c>
      <c r="C35" t="s">
        <v>33</v>
      </c>
      <c r="D35" t="s">
        <v>49</v>
      </c>
      <c r="E35" t="s">
        <v>93</v>
      </c>
      <c r="F35" t="s">
        <v>41</v>
      </c>
      <c r="G35" t="s">
        <v>42</v>
      </c>
      <c r="H35" t="s">
        <v>94</v>
      </c>
      <c r="I35">
        <v>162</v>
      </c>
      <c r="J35">
        <v>90</v>
      </c>
      <c r="K35" t="s">
        <v>28</v>
      </c>
      <c r="L35" t="s">
        <v>28</v>
      </c>
      <c r="M35" t="s">
        <v>28</v>
      </c>
      <c r="N35" t="s">
        <v>28</v>
      </c>
      <c r="O35" t="s">
        <v>29</v>
      </c>
      <c r="P35" t="s">
        <v>28</v>
      </c>
      <c r="Q35" t="s">
        <v>28</v>
      </c>
      <c r="R35" t="s">
        <v>28</v>
      </c>
      <c r="S35" t="s">
        <v>28</v>
      </c>
      <c r="T35" t="s">
        <v>30</v>
      </c>
      <c r="U35" t="s">
        <v>31</v>
      </c>
      <c r="V35" t="s">
        <v>29</v>
      </c>
      <c r="W35" t="s">
        <v>32</v>
      </c>
    </row>
    <row r="36" spans="1:23" x14ac:dyDescent="0.45">
      <c r="A36" t="str" cm="1">
        <f t="array" ref="A36">_xlfn.IFS(B36&lt;30, "18-29", B36&lt;45,"30-44",B36&gt;=45,"45-55+")</f>
        <v>30-44</v>
      </c>
      <c r="B36">
        <v>43</v>
      </c>
      <c r="C36" t="s">
        <v>33</v>
      </c>
      <c r="D36" t="s">
        <v>61</v>
      </c>
      <c r="E36" t="s">
        <v>35</v>
      </c>
      <c r="F36" t="s">
        <v>41</v>
      </c>
      <c r="G36" t="s">
        <v>51</v>
      </c>
      <c r="H36" t="s">
        <v>63</v>
      </c>
      <c r="I36">
        <v>144</v>
      </c>
      <c r="J36">
        <v>83</v>
      </c>
      <c r="K36" t="s">
        <v>29</v>
      </c>
      <c r="L36" t="s">
        <v>28</v>
      </c>
      <c r="M36" t="s">
        <v>29</v>
      </c>
      <c r="N36" t="s">
        <v>28</v>
      </c>
      <c r="O36" t="s">
        <v>29</v>
      </c>
      <c r="P36" t="s">
        <v>28</v>
      </c>
      <c r="Q36" t="s">
        <v>29</v>
      </c>
      <c r="R36" t="s">
        <v>28</v>
      </c>
      <c r="S36" t="s">
        <v>28</v>
      </c>
      <c r="T36" t="s">
        <v>46</v>
      </c>
      <c r="U36" t="s">
        <v>31</v>
      </c>
      <c r="V36" t="s">
        <v>29</v>
      </c>
      <c r="W36" t="s">
        <v>32</v>
      </c>
    </row>
    <row r="37" spans="1:23" x14ac:dyDescent="0.45">
      <c r="A37" t="str" cm="1">
        <f t="array" ref="A37">_xlfn.IFS(B37&lt;30, "18-29", B37&lt;45,"30-44",B37&gt;=45,"45-55+")</f>
        <v>30-44</v>
      </c>
      <c r="B37">
        <v>43</v>
      </c>
      <c r="C37" t="s">
        <v>33</v>
      </c>
      <c r="D37" t="s">
        <v>58</v>
      </c>
      <c r="E37" t="s">
        <v>60</v>
      </c>
      <c r="F37" t="s">
        <v>36</v>
      </c>
      <c r="G37" t="s">
        <v>42</v>
      </c>
      <c r="H37" t="s">
        <v>89</v>
      </c>
      <c r="I37">
        <v>145</v>
      </c>
      <c r="J37">
        <v>108</v>
      </c>
      <c r="K37" t="s">
        <v>28</v>
      </c>
      <c r="L37" t="s">
        <v>28</v>
      </c>
      <c r="M37" t="s">
        <v>29</v>
      </c>
      <c r="N37" t="s">
        <v>28</v>
      </c>
      <c r="O37" t="s">
        <v>28</v>
      </c>
      <c r="P37" t="s">
        <v>28</v>
      </c>
      <c r="Q37" t="s">
        <v>28</v>
      </c>
      <c r="R37" t="s">
        <v>29</v>
      </c>
      <c r="S37" t="s">
        <v>28</v>
      </c>
      <c r="T37" t="s">
        <v>46</v>
      </c>
      <c r="U37" t="s">
        <v>38</v>
      </c>
      <c r="V37" t="s">
        <v>29</v>
      </c>
      <c r="W37" t="s">
        <v>32</v>
      </c>
    </row>
    <row r="38" spans="1:23" x14ac:dyDescent="0.45">
      <c r="A38" t="str" cm="1">
        <f t="array" ref="A38">_xlfn.IFS(B38&lt;30, "18-29", B38&lt;45,"30-44",B38&gt;=45,"45-55+")</f>
        <v>30-44</v>
      </c>
      <c r="B38">
        <v>43</v>
      </c>
      <c r="C38" t="s">
        <v>22</v>
      </c>
      <c r="D38" t="s">
        <v>23</v>
      </c>
      <c r="E38" t="s">
        <v>55</v>
      </c>
      <c r="F38" t="s">
        <v>36</v>
      </c>
      <c r="G38" t="s">
        <v>42</v>
      </c>
      <c r="H38" t="s">
        <v>102</v>
      </c>
      <c r="I38">
        <v>155</v>
      </c>
      <c r="J38">
        <v>84</v>
      </c>
      <c r="K38" t="s">
        <v>28</v>
      </c>
      <c r="L38" t="s">
        <v>28</v>
      </c>
      <c r="M38" t="s">
        <v>29</v>
      </c>
      <c r="N38" t="s">
        <v>28</v>
      </c>
      <c r="O38" t="s">
        <v>28</v>
      </c>
      <c r="P38" t="s">
        <v>28</v>
      </c>
      <c r="Q38" t="s">
        <v>28</v>
      </c>
      <c r="R38" t="s">
        <v>29</v>
      </c>
      <c r="S38" t="s">
        <v>28</v>
      </c>
      <c r="T38" t="s">
        <v>46</v>
      </c>
      <c r="U38" t="s">
        <v>38</v>
      </c>
      <c r="V38" t="s">
        <v>29</v>
      </c>
      <c r="W38" t="s">
        <v>39</v>
      </c>
    </row>
    <row r="39" spans="1:23" x14ac:dyDescent="0.45">
      <c r="A39" t="str" cm="1">
        <f t="array" ref="A39">_xlfn.IFS(B39&lt;30, "18-29", B39&lt;45,"30-44",B39&gt;=45,"45-55+")</f>
        <v>30-44</v>
      </c>
      <c r="B39">
        <v>44</v>
      </c>
      <c r="C39" t="s">
        <v>33</v>
      </c>
      <c r="D39" t="s">
        <v>34</v>
      </c>
      <c r="E39" t="s">
        <v>35</v>
      </c>
      <c r="F39" t="s">
        <v>36</v>
      </c>
      <c r="G39" t="s">
        <v>26</v>
      </c>
      <c r="H39" t="s">
        <v>37</v>
      </c>
      <c r="I39">
        <v>136</v>
      </c>
      <c r="J39">
        <v>79</v>
      </c>
      <c r="K39" t="s">
        <v>29</v>
      </c>
      <c r="L39" t="s">
        <v>28</v>
      </c>
      <c r="M39" t="s">
        <v>29</v>
      </c>
      <c r="N39" t="s">
        <v>28</v>
      </c>
      <c r="O39" t="s">
        <v>28</v>
      </c>
      <c r="P39" t="s">
        <v>29</v>
      </c>
      <c r="Q39" t="s">
        <v>28</v>
      </c>
      <c r="R39" t="s">
        <v>28</v>
      </c>
      <c r="S39" t="s">
        <v>28</v>
      </c>
      <c r="T39" t="s">
        <v>30</v>
      </c>
      <c r="U39" t="s">
        <v>38</v>
      </c>
      <c r="V39" t="s">
        <v>29</v>
      </c>
      <c r="W39" t="s">
        <v>39</v>
      </c>
    </row>
    <row r="40" spans="1:23" x14ac:dyDescent="0.45">
      <c r="A40" t="str" cm="1">
        <f t="array" ref="A40">_xlfn.IFS(B40&lt;30, "18-29", B40&lt;45,"30-44",B40&gt;=45,"45-55+")</f>
        <v>30-44</v>
      </c>
      <c r="B40">
        <v>44</v>
      </c>
      <c r="C40" t="s">
        <v>22</v>
      </c>
      <c r="D40" t="s">
        <v>40</v>
      </c>
      <c r="E40" t="s">
        <v>24</v>
      </c>
      <c r="F40" t="s">
        <v>53</v>
      </c>
      <c r="G40" t="s">
        <v>51</v>
      </c>
      <c r="H40" t="s">
        <v>54</v>
      </c>
      <c r="I40">
        <v>149</v>
      </c>
      <c r="J40">
        <v>79</v>
      </c>
      <c r="K40" t="s">
        <v>28</v>
      </c>
      <c r="L40" t="s">
        <v>28</v>
      </c>
      <c r="M40" t="s">
        <v>29</v>
      </c>
      <c r="N40" t="s">
        <v>28</v>
      </c>
      <c r="O40" t="s">
        <v>28</v>
      </c>
      <c r="P40" t="s">
        <v>28</v>
      </c>
      <c r="Q40" t="s">
        <v>29</v>
      </c>
      <c r="R40" t="s">
        <v>28</v>
      </c>
      <c r="S40" t="s">
        <v>28</v>
      </c>
      <c r="T40" t="s">
        <v>30</v>
      </c>
      <c r="U40" t="s">
        <v>31</v>
      </c>
      <c r="V40" t="s">
        <v>29</v>
      </c>
      <c r="W40" t="s">
        <v>39</v>
      </c>
    </row>
    <row r="41" spans="1:23" x14ac:dyDescent="0.45">
      <c r="A41" t="str" cm="1">
        <f t="array" ref="A41">_xlfn.IFS(B41&lt;30, "18-29", B41&lt;45,"30-44",B41&gt;=45,"45-55+")</f>
        <v>30-44</v>
      </c>
      <c r="B41">
        <v>44</v>
      </c>
      <c r="C41" t="s">
        <v>33</v>
      </c>
      <c r="D41" t="s">
        <v>40</v>
      </c>
      <c r="E41" t="s">
        <v>55</v>
      </c>
      <c r="F41" t="s">
        <v>41</v>
      </c>
      <c r="G41" t="s">
        <v>26</v>
      </c>
      <c r="H41" t="s">
        <v>83</v>
      </c>
      <c r="I41">
        <v>139</v>
      </c>
      <c r="J41">
        <v>77</v>
      </c>
      <c r="K41" t="s">
        <v>28</v>
      </c>
      <c r="L41" t="s">
        <v>28</v>
      </c>
      <c r="M41" t="s">
        <v>29</v>
      </c>
      <c r="N41" t="s">
        <v>28</v>
      </c>
      <c r="O41" t="s">
        <v>28</v>
      </c>
      <c r="P41" t="s">
        <v>28</v>
      </c>
      <c r="Q41" t="s">
        <v>28</v>
      </c>
      <c r="R41" t="s">
        <v>28</v>
      </c>
      <c r="S41" t="s">
        <v>28</v>
      </c>
      <c r="T41" t="s">
        <v>30</v>
      </c>
      <c r="U41" t="s">
        <v>31</v>
      </c>
      <c r="V41" t="s">
        <v>28</v>
      </c>
      <c r="W41" t="s">
        <v>39</v>
      </c>
    </row>
    <row r="42" spans="1:23" x14ac:dyDescent="0.45">
      <c r="A42" t="str" cm="1">
        <f t="array" ref="A42">_xlfn.IFS(B42&lt;30, "18-29", B42&lt;45,"30-44",B42&gt;=45,"45-55+")</f>
        <v>30-44</v>
      </c>
      <c r="B42">
        <v>44</v>
      </c>
      <c r="C42" t="s">
        <v>33</v>
      </c>
      <c r="D42" t="s">
        <v>23</v>
      </c>
      <c r="E42" t="s">
        <v>60</v>
      </c>
      <c r="F42" t="s">
        <v>53</v>
      </c>
      <c r="G42" t="s">
        <v>26</v>
      </c>
      <c r="H42" t="s">
        <v>50</v>
      </c>
      <c r="I42">
        <v>165</v>
      </c>
      <c r="J42">
        <v>85</v>
      </c>
      <c r="K42" t="s">
        <v>29</v>
      </c>
      <c r="L42" t="s">
        <v>28</v>
      </c>
      <c r="M42" t="s">
        <v>28</v>
      </c>
      <c r="N42" t="s">
        <v>28</v>
      </c>
      <c r="O42" t="s">
        <v>29</v>
      </c>
      <c r="P42" t="s">
        <v>28</v>
      </c>
      <c r="Q42" t="s">
        <v>28</v>
      </c>
      <c r="R42" t="s">
        <v>28</v>
      </c>
      <c r="S42" t="s">
        <v>28</v>
      </c>
      <c r="T42" t="s">
        <v>30</v>
      </c>
      <c r="U42" t="s">
        <v>38</v>
      </c>
      <c r="V42" t="s">
        <v>28</v>
      </c>
      <c r="W42" t="s">
        <v>32</v>
      </c>
    </row>
    <row r="43" spans="1:23" x14ac:dyDescent="0.45">
      <c r="A43" t="str" cm="1">
        <f t="array" ref="A43">_xlfn.IFS(B43&lt;30, "18-29", B43&lt;45,"30-44",B43&gt;=45,"45-55+")</f>
        <v>30-44</v>
      </c>
      <c r="B43">
        <v>44</v>
      </c>
      <c r="C43" t="s">
        <v>33</v>
      </c>
      <c r="D43" t="s">
        <v>34</v>
      </c>
      <c r="E43" t="s">
        <v>44</v>
      </c>
      <c r="F43" t="s">
        <v>41</v>
      </c>
      <c r="G43" t="s">
        <v>26</v>
      </c>
      <c r="H43" t="s">
        <v>100</v>
      </c>
      <c r="I43">
        <v>117</v>
      </c>
      <c r="J43">
        <v>89</v>
      </c>
      <c r="K43" t="s">
        <v>28</v>
      </c>
      <c r="L43" t="s">
        <v>28</v>
      </c>
      <c r="M43" t="s">
        <v>29</v>
      </c>
      <c r="N43" t="s">
        <v>28</v>
      </c>
      <c r="O43" t="s">
        <v>28</v>
      </c>
      <c r="P43" t="s">
        <v>28</v>
      </c>
      <c r="Q43" t="s">
        <v>28</v>
      </c>
      <c r="R43" t="s">
        <v>28</v>
      </c>
      <c r="S43" t="s">
        <v>28</v>
      </c>
      <c r="T43" t="s">
        <v>30</v>
      </c>
      <c r="U43" t="s">
        <v>38</v>
      </c>
      <c r="V43" t="s">
        <v>29</v>
      </c>
      <c r="W43" t="s">
        <v>32</v>
      </c>
    </row>
    <row r="44" spans="1:23" x14ac:dyDescent="0.45">
      <c r="A44" t="str" cm="1">
        <f t="array" ref="A44">_xlfn.IFS(B44&lt;30, "18-29", B44&lt;45,"30-44",B44&gt;=45,"45-55+")</f>
        <v>30-44</v>
      </c>
      <c r="B44">
        <v>44</v>
      </c>
      <c r="C44" t="s">
        <v>33</v>
      </c>
      <c r="D44" t="s">
        <v>49</v>
      </c>
      <c r="E44" t="s">
        <v>24</v>
      </c>
      <c r="F44" t="s">
        <v>41</v>
      </c>
      <c r="G44" t="s">
        <v>51</v>
      </c>
      <c r="H44" t="s">
        <v>87</v>
      </c>
      <c r="I44">
        <v>140</v>
      </c>
      <c r="J44">
        <v>87</v>
      </c>
      <c r="K44" t="s">
        <v>28</v>
      </c>
      <c r="L44" t="s">
        <v>28</v>
      </c>
      <c r="M44" t="s">
        <v>29</v>
      </c>
      <c r="N44" t="s">
        <v>28</v>
      </c>
      <c r="O44" t="s">
        <v>28</v>
      </c>
      <c r="P44" t="s">
        <v>28</v>
      </c>
      <c r="Q44" t="s">
        <v>28</v>
      </c>
      <c r="R44" t="s">
        <v>28</v>
      </c>
      <c r="S44" t="s">
        <v>28</v>
      </c>
      <c r="T44" t="s">
        <v>30</v>
      </c>
      <c r="U44" t="s">
        <v>31</v>
      </c>
      <c r="V44" t="s">
        <v>28</v>
      </c>
      <c r="W44" t="s">
        <v>32</v>
      </c>
    </row>
    <row r="45" spans="1:23" x14ac:dyDescent="0.45">
      <c r="A45" t="str" cm="1">
        <f t="array" ref="A45">_xlfn.IFS(B45&lt;30, "18-29", B45&lt;45,"30-44",B45&gt;=45,"45-55+")</f>
        <v>45-55+</v>
      </c>
      <c r="B45">
        <v>45</v>
      </c>
      <c r="C45" t="s">
        <v>22</v>
      </c>
      <c r="D45" t="s">
        <v>61</v>
      </c>
      <c r="E45" t="s">
        <v>44</v>
      </c>
      <c r="F45" t="s">
        <v>36</v>
      </c>
      <c r="G45" t="s">
        <v>42</v>
      </c>
      <c r="H45" t="s">
        <v>65</v>
      </c>
      <c r="I45">
        <v>136</v>
      </c>
      <c r="J45">
        <v>82</v>
      </c>
      <c r="K45" t="s">
        <v>28</v>
      </c>
      <c r="L45" t="s">
        <v>28</v>
      </c>
      <c r="M45" t="s">
        <v>29</v>
      </c>
      <c r="N45" t="s">
        <v>28</v>
      </c>
      <c r="O45" t="s">
        <v>28</v>
      </c>
      <c r="P45" t="s">
        <v>28</v>
      </c>
      <c r="Q45" t="s">
        <v>28</v>
      </c>
      <c r="R45" t="s">
        <v>28</v>
      </c>
      <c r="S45" t="s">
        <v>28</v>
      </c>
      <c r="T45" t="s">
        <v>30</v>
      </c>
      <c r="U45" t="s">
        <v>31</v>
      </c>
      <c r="V45" t="s">
        <v>29</v>
      </c>
      <c r="W45" t="s">
        <v>39</v>
      </c>
    </row>
    <row r="46" spans="1:23" x14ac:dyDescent="0.45">
      <c r="A46" t="str" cm="1">
        <f t="array" ref="A46">_xlfn.IFS(B46&lt;30, "18-29", B46&lt;45,"30-44",B46&gt;=45,"45-55+")</f>
        <v>45-55+</v>
      </c>
      <c r="B46">
        <v>45</v>
      </c>
      <c r="C46" t="s">
        <v>22</v>
      </c>
      <c r="D46" t="s">
        <v>49</v>
      </c>
      <c r="E46" t="s">
        <v>44</v>
      </c>
      <c r="F46" t="s">
        <v>36</v>
      </c>
      <c r="G46" t="s">
        <v>51</v>
      </c>
      <c r="H46" t="s">
        <v>59</v>
      </c>
      <c r="I46">
        <v>123</v>
      </c>
      <c r="J46">
        <v>109</v>
      </c>
      <c r="K46" t="s">
        <v>28</v>
      </c>
      <c r="L46" t="s">
        <v>28</v>
      </c>
      <c r="M46" t="s">
        <v>29</v>
      </c>
      <c r="N46" t="s">
        <v>28</v>
      </c>
      <c r="O46" t="s">
        <v>28</v>
      </c>
      <c r="P46" t="s">
        <v>28</v>
      </c>
      <c r="Q46" t="s">
        <v>28</v>
      </c>
      <c r="R46" t="s">
        <v>29</v>
      </c>
      <c r="S46" t="s">
        <v>28</v>
      </c>
      <c r="T46" t="s">
        <v>30</v>
      </c>
      <c r="U46" t="s">
        <v>31</v>
      </c>
      <c r="V46" t="s">
        <v>28</v>
      </c>
      <c r="W46" t="s">
        <v>32</v>
      </c>
    </row>
    <row r="47" spans="1:23" x14ac:dyDescent="0.45">
      <c r="A47" t="str" cm="1">
        <f t="array" ref="A47">_xlfn.IFS(B47&lt;30, "18-29", B47&lt;45,"30-44",B47&gt;=45,"45-55+")</f>
        <v>45-55+</v>
      </c>
      <c r="B47">
        <v>46</v>
      </c>
      <c r="C47" t="s">
        <v>22</v>
      </c>
      <c r="D47" t="s">
        <v>23</v>
      </c>
      <c r="E47" t="s">
        <v>44</v>
      </c>
      <c r="F47" t="s">
        <v>41</v>
      </c>
      <c r="G47" t="s">
        <v>26</v>
      </c>
      <c r="H47" t="s">
        <v>37</v>
      </c>
      <c r="I47">
        <v>159</v>
      </c>
      <c r="J47">
        <v>82</v>
      </c>
      <c r="K47" t="s">
        <v>28</v>
      </c>
      <c r="L47" t="s">
        <v>28</v>
      </c>
      <c r="M47" t="s">
        <v>29</v>
      </c>
      <c r="N47" t="s">
        <v>28</v>
      </c>
      <c r="O47" t="s">
        <v>28</v>
      </c>
      <c r="P47" t="s">
        <v>28</v>
      </c>
      <c r="Q47" t="s">
        <v>28</v>
      </c>
      <c r="R47" t="s">
        <v>28</v>
      </c>
      <c r="S47" t="s">
        <v>29</v>
      </c>
      <c r="T47" t="s">
        <v>30</v>
      </c>
      <c r="U47" t="s">
        <v>31</v>
      </c>
      <c r="V47" t="s">
        <v>29</v>
      </c>
      <c r="W47" t="s">
        <v>32</v>
      </c>
    </row>
    <row r="48" spans="1:23" x14ac:dyDescent="0.45">
      <c r="A48" t="str" cm="1">
        <f t="array" ref="A48">_xlfn.IFS(B48&lt;30, "18-29", B48&lt;45,"30-44",B48&gt;=45,"45-55+")</f>
        <v>45-55+</v>
      </c>
      <c r="B48">
        <v>46</v>
      </c>
      <c r="C48" t="s">
        <v>22</v>
      </c>
      <c r="D48" t="s">
        <v>23</v>
      </c>
      <c r="E48" t="s">
        <v>24</v>
      </c>
      <c r="F48" t="s">
        <v>36</v>
      </c>
      <c r="G48" t="s">
        <v>26</v>
      </c>
      <c r="H48" t="s">
        <v>68</v>
      </c>
      <c r="I48">
        <v>150</v>
      </c>
      <c r="J48">
        <v>93</v>
      </c>
      <c r="K48" t="s">
        <v>29</v>
      </c>
      <c r="L48" t="s">
        <v>28</v>
      </c>
      <c r="M48" t="s">
        <v>29</v>
      </c>
      <c r="N48" t="s">
        <v>28</v>
      </c>
      <c r="O48" t="s">
        <v>28</v>
      </c>
      <c r="P48" t="s">
        <v>28</v>
      </c>
      <c r="Q48" t="s">
        <v>28</v>
      </c>
      <c r="R48" t="s">
        <v>29</v>
      </c>
      <c r="S48" t="s">
        <v>28</v>
      </c>
      <c r="T48" t="s">
        <v>30</v>
      </c>
      <c r="U48" t="s">
        <v>31</v>
      </c>
      <c r="V48" t="s">
        <v>29</v>
      </c>
      <c r="W48" t="s">
        <v>39</v>
      </c>
    </row>
    <row r="49" spans="1:23" x14ac:dyDescent="0.45">
      <c r="A49" t="str" cm="1">
        <f t="array" ref="A49">_xlfn.IFS(B49&lt;30, "18-29", B49&lt;45,"30-44",B49&gt;=45,"45-55+")</f>
        <v>45-55+</v>
      </c>
      <c r="B49">
        <v>48</v>
      </c>
      <c r="C49" t="s">
        <v>22</v>
      </c>
      <c r="D49" t="s">
        <v>23</v>
      </c>
      <c r="E49" t="s">
        <v>24</v>
      </c>
      <c r="F49" t="s">
        <v>25</v>
      </c>
      <c r="G49" t="s">
        <v>26</v>
      </c>
      <c r="H49" t="s">
        <v>27</v>
      </c>
      <c r="I49">
        <v>137</v>
      </c>
      <c r="J49">
        <v>102</v>
      </c>
      <c r="K49" t="s">
        <v>28</v>
      </c>
      <c r="L49" t="s">
        <v>28</v>
      </c>
      <c r="M49" t="s">
        <v>29</v>
      </c>
      <c r="N49" t="s">
        <v>28</v>
      </c>
      <c r="O49" t="s">
        <v>28</v>
      </c>
      <c r="P49" t="s">
        <v>28</v>
      </c>
      <c r="Q49" t="s">
        <v>28</v>
      </c>
      <c r="R49" t="s">
        <v>28</v>
      </c>
      <c r="S49" t="s">
        <v>28</v>
      </c>
      <c r="T49" t="s">
        <v>30</v>
      </c>
      <c r="U49" t="s">
        <v>31</v>
      </c>
      <c r="V49" t="s">
        <v>29</v>
      </c>
      <c r="W49" t="s">
        <v>32</v>
      </c>
    </row>
    <row r="50" spans="1:23" x14ac:dyDescent="0.45">
      <c r="A50" t="str" cm="1">
        <f t="array" ref="A50">_xlfn.IFS(B50&lt;30, "18-29", B50&lt;45,"30-44",B50&gt;=45,"45-55+")</f>
        <v>45-55+</v>
      </c>
      <c r="B50">
        <v>48</v>
      </c>
      <c r="C50" t="s">
        <v>33</v>
      </c>
      <c r="D50" t="s">
        <v>23</v>
      </c>
      <c r="E50" t="s">
        <v>35</v>
      </c>
      <c r="F50" t="s">
        <v>36</v>
      </c>
      <c r="G50" t="s">
        <v>51</v>
      </c>
      <c r="H50" t="s">
        <v>76</v>
      </c>
      <c r="I50">
        <v>127</v>
      </c>
      <c r="J50">
        <v>92</v>
      </c>
      <c r="K50" t="s">
        <v>28</v>
      </c>
      <c r="L50" t="s">
        <v>28</v>
      </c>
      <c r="M50" t="s">
        <v>29</v>
      </c>
      <c r="N50" t="s">
        <v>28</v>
      </c>
      <c r="O50" t="s">
        <v>28</v>
      </c>
      <c r="P50" t="s">
        <v>28</v>
      </c>
      <c r="Q50" t="s">
        <v>28</v>
      </c>
      <c r="R50" t="s">
        <v>28</v>
      </c>
      <c r="S50" t="s">
        <v>28</v>
      </c>
      <c r="T50" t="s">
        <v>30</v>
      </c>
      <c r="U50" t="s">
        <v>31</v>
      </c>
      <c r="V50" t="s">
        <v>28</v>
      </c>
      <c r="W50" t="s">
        <v>32</v>
      </c>
    </row>
    <row r="51" spans="1:23" x14ac:dyDescent="0.45">
      <c r="A51" t="str" cm="1">
        <f t="array" ref="A51">_xlfn.IFS(B51&lt;30, "18-29", B51&lt;45,"30-44",B51&gt;=45,"45-55+")</f>
        <v>45-55+</v>
      </c>
      <c r="B51">
        <v>49</v>
      </c>
      <c r="C51" t="s">
        <v>22</v>
      </c>
      <c r="D51" t="s">
        <v>34</v>
      </c>
      <c r="E51" t="s">
        <v>44</v>
      </c>
      <c r="F51" t="s">
        <v>25</v>
      </c>
      <c r="G51" t="s">
        <v>26</v>
      </c>
      <c r="H51" t="s">
        <v>45</v>
      </c>
      <c r="I51">
        <v>138</v>
      </c>
      <c r="J51">
        <v>89</v>
      </c>
      <c r="K51" t="s">
        <v>28</v>
      </c>
      <c r="L51" t="s">
        <v>29</v>
      </c>
      <c r="M51" t="s">
        <v>29</v>
      </c>
      <c r="N51" t="s">
        <v>29</v>
      </c>
      <c r="O51" t="s">
        <v>29</v>
      </c>
      <c r="P51" t="s">
        <v>28</v>
      </c>
      <c r="Q51" t="s">
        <v>28</v>
      </c>
      <c r="R51" t="s">
        <v>28</v>
      </c>
      <c r="S51" t="s">
        <v>28</v>
      </c>
      <c r="T51" t="s">
        <v>46</v>
      </c>
      <c r="U51" t="s">
        <v>31</v>
      </c>
      <c r="V51" t="s">
        <v>29</v>
      </c>
      <c r="W51" t="s">
        <v>32</v>
      </c>
    </row>
    <row r="52" spans="1:23" x14ac:dyDescent="0.45">
      <c r="A52" t="str" cm="1">
        <f t="array" ref="A52">_xlfn.IFS(B52&lt;30, "18-29", B52&lt;45,"30-44",B52&gt;=45,"45-55+")</f>
        <v>45-55+</v>
      </c>
      <c r="B52">
        <v>49</v>
      </c>
      <c r="C52" t="s">
        <v>33</v>
      </c>
      <c r="D52" t="s">
        <v>61</v>
      </c>
      <c r="E52" t="s">
        <v>35</v>
      </c>
      <c r="F52" t="s">
        <v>36</v>
      </c>
      <c r="G52" t="s">
        <v>26</v>
      </c>
      <c r="H52" t="s">
        <v>71</v>
      </c>
      <c r="I52">
        <v>136</v>
      </c>
      <c r="J52">
        <v>91</v>
      </c>
      <c r="K52" t="s">
        <v>29</v>
      </c>
      <c r="L52" t="s">
        <v>28</v>
      </c>
      <c r="M52" t="s">
        <v>29</v>
      </c>
      <c r="N52" t="s">
        <v>28</v>
      </c>
      <c r="O52" t="s">
        <v>28</v>
      </c>
      <c r="P52" t="s">
        <v>28</v>
      </c>
      <c r="Q52" t="s">
        <v>28</v>
      </c>
      <c r="R52" t="s">
        <v>28</v>
      </c>
      <c r="S52" t="s">
        <v>28</v>
      </c>
      <c r="T52" t="s">
        <v>30</v>
      </c>
      <c r="U52" t="s">
        <v>38</v>
      </c>
      <c r="V52" t="s">
        <v>29</v>
      </c>
      <c r="W52" t="s">
        <v>32</v>
      </c>
    </row>
    <row r="53" spans="1:23" x14ac:dyDescent="0.45">
      <c r="A53" t="str" cm="1">
        <f t="array" ref="A53">_xlfn.IFS(B53&lt;30, "18-29", B53&lt;45,"30-44",B53&gt;=45,"45-55+")</f>
        <v>45-55+</v>
      </c>
      <c r="B53">
        <v>49</v>
      </c>
      <c r="C53" t="s">
        <v>22</v>
      </c>
      <c r="D53" t="s">
        <v>61</v>
      </c>
      <c r="E53" t="s">
        <v>24</v>
      </c>
      <c r="F53" t="s">
        <v>41</v>
      </c>
      <c r="G53" t="s">
        <v>26</v>
      </c>
      <c r="H53" t="s">
        <v>77</v>
      </c>
      <c r="I53">
        <v>141</v>
      </c>
      <c r="J53">
        <v>89</v>
      </c>
      <c r="K53" t="s">
        <v>28</v>
      </c>
      <c r="L53" t="s">
        <v>28</v>
      </c>
      <c r="M53" t="s">
        <v>28</v>
      </c>
      <c r="N53" t="s">
        <v>29</v>
      </c>
      <c r="O53" t="s">
        <v>28</v>
      </c>
      <c r="P53" t="s">
        <v>28</v>
      </c>
      <c r="Q53" t="s">
        <v>28</v>
      </c>
      <c r="R53" t="s">
        <v>28</v>
      </c>
      <c r="S53" t="s">
        <v>28</v>
      </c>
      <c r="T53" t="s">
        <v>30</v>
      </c>
      <c r="U53" t="s">
        <v>31</v>
      </c>
      <c r="V53" t="s">
        <v>29</v>
      </c>
      <c r="W53" t="s">
        <v>32</v>
      </c>
    </row>
    <row r="54" spans="1:23" x14ac:dyDescent="0.45">
      <c r="A54" t="str" cm="1">
        <f t="array" ref="A54">_xlfn.IFS(B54&lt;30, "18-29", B54&lt;45,"30-44",B54&gt;=45,"45-55+")</f>
        <v>45-55+</v>
      </c>
      <c r="B54">
        <v>50</v>
      </c>
      <c r="C54" t="s">
        <v>22</v>
      </c>
      <c r="D54" t="s">
        <v>49</v>
      </c>
      <c r="E54" t="s">
        <v>60</v>
      </c>
      <c r="F54" t="s">
        <v>25</v>
      </c>
      <c r="G54" t="s">
        <v>26</v>
      </c>
      <c r="H54" t="s">
        <v>27</v>
      </c>
      <c r="I54">
        <v>133</v>
      </c>
      <c r="J54">
        <v>99</v>
      </c>
      <c r="K54" t="s">
        <v>28</v>
      </c>
      <c r="L54" t="s">
        <v>29</v>
      </c>
      <c r="M54" t="s">
        <v>29</v>
      </c>
      <c r="N54" t="s">
        <v>28</v>
      </c>
      <c r="O54" t="s">
        <v>28</v>
      </c>
      <c r="P54" t="s">
        <v>28</v>
      </c>
      <c r="Q54" t="s">
        <v>29</v>
      </c>
      <c r="R54" t="s">
        <v>28</v>
      </c>
      <c r="S54" t="s">
        <v>28</v>
      </c>
      <c r="T54" t="s">
        <v>30</v>
      </c>
      <c r="U54" t="s">
        <v>31</v>
      </c>
      <c r="V54" t="s">
        <v>29</v>
      </c>
      <c r="W54" t="s">
        <v>32</v>
      </c>
    </row>
    <row r="55" spans="1:23" x14ac:dyDescent="0.45">
      <c r="A55" t="str" cm="1">
        <f t="array" ref="A55">_xlfn.IFS(B55&lt;30, "18-29", B55&lt;45,"30-44",B55&gt;=45,"45-55+")</f>
        <v>45-55+</v>
      </c>
      <c r="B55">
        <v>50</v>
      </c>
      <c r="C55" t="s">
        <v>33</v>
      </c>
      <c r="D55" t="s">
        <v>23</v>
      </c>
      <c r="E55" t="s">
        <v>60</v>
      </c>
      <c r="F55" t="s">
        <v>36</v>
      </c>
      <c r="G55" t="s">
        <v>51</v>
      </c>
      <c r="H55" t="s">
        <v>63</v>
      </c>
      <c r="I55">
        <v>143</v>
      </c>
      <c r="J55">
        <v>97</v>
      </c>
      <c r="K55" t="s">
        <v>28</v>
      </c>
      <c r="L55" t="s">
        <v>28</v>
      </c>
      <c r="M55" t="s">
        <v>28</v>
      </c>
      <c r="N55" t="s">
        <v>28</v>
      </c>
      <c r="O55" t="s">
        <v>28</v>
      </c>
      <c r="P55" t="s">
        <v>28</v>
      </c>
      <c r="Q55" t="s">
        <v>28</v>
      </c>
      <c r="R55" t="s">
        <v>28</v>
      </c>
      <c r="S55" t="s">
        <v>28</v>
      </c>
      <c r="T55" t="s">
        <v>30</v>
      </c>
      <c r="U55" t="s">
        <v>31</v>
      </c>
      <c r="V55" t="s">
        <v>28</v>
      </c>
      <c r="W55" t="s">
        <v>32</v>
      </c>
    </row>
    <row r="56" spans="1:23" x14ac:dyDescent="0.45">
      <c r="A56" t="str" cm="1">
        <f t="array" ref="A56">_xlfn.IFS(B56&lt;30, "18-29", B56&lt;45,"30-44",B56&gt;=45,"45-55+")</f>
        <v>45-55+</v>
      </c>
      <c r="B56">
        <v>50</v>
      </c>
      <c r="C56" t="s">
        <v>22</v>
      </c>
      <c r="D56" t="s">
        <v>61</v>
      </c>
      <c r="E56" t="s">
        <v>44</v>
      </c>
      <c r="F56" t="s">
        <v>25</v>
      </c>
      <c r="G56" t="s">
        <v>26</v>
      </c>
      <c r="H56" t="s">
        <v>71</v>
      </c>
      <c r="I56">
        <v>146</v>
      </c>
      <c r="J56">
        <v>100</v>
      </c>
      <c r="K56" t="s">
        <v>28</v>
      </c>
      <c r="L56" t="s">
        <v>28</v>
      </c>
      <c r="M56" t="s">
        <v>29</v>
      </c>
      <c r="N56" t="s">
        <v>28</v>
      </c>
      <c r="O56" t="s">
        <v>28</v>
      </c>
      <c r="P56" t="s">
        <v>28</v>
      </c>
      <c r="Q56" t="s">
        <v>28</v>
      </c>
      <c r="R56" t="s">
        <v>28</v>
      </c>
      <c r="S56" t="s">
        <v>28</v>
      </c>
      <c r="T56" t="s">
        <v>30</v>
      </c>
      <c r="U56" t="s">
        <v>31</v>
      </c>
      <c r="V56" t="s">
        <v>28</v>
      </c>
      <c r="W56" t="s">
        <v>32</v>
      </c>
    </row>
    <row r="57" spans="1:23" x14ac:dyDescent="0.45">
      <c r="A57" t="str" cm="1">
        <f t="array" ref="A57">_xlfn.IFS(B57&lt;30, "18-29", B57&lt;45,"30-44",B57&gt;=45,"45-55+")</f>
        <v>45-55+</v>
      </c>
      <c r="B57">
        <v>50</v>
      </c>
      <c r="C57" t="s">
        <v>33</v>
      </c>
      <c r="D57" t="s">
        <v>49</v>
      </c>
      <c r="E57" t="s">
        <v>44</v>
      </c>
      <c r="F57" t="s">
        <v>41</v>
      </c>
      <c r="G57" t="s">
        <v>26</v>
      </c>
      <c r="H57" t="s">
        <v>77</v>
      </c>
      <c r="I57">
        <v>144</v>
      </c>
      <c r="J57">
        <v>76</v>
      </c>
      <c r="K57" t="s">
        <v>28</v>
      </c>
      <c r="L57" t="s">
        <v>28</v>
      </c>
      <c r="M57" t="s">
        <v>29</v>
      </c>
      <c r="N57" t="s">
        <v>28</v>
      </c>
      <c r="O57" t="s">
        <v>28</v>
      </c>
      <c r="P57" t="s">
        <v>28</v>
      </c>
      <c r="Q57" t="s">
        <v>28</v>
      </c>
      <c r="R57" t="s">
        <v>28</v>
      </c>
      <c r="S57" t="s">
        <v>28</v>
      </c>
      <c r="T57" t="s">
        <v>30</v>
      </c>
      <c r="U57" t="s">
        <v>31</v>
      </c>
      <c r="V57" t="s">
        <v>28</v>
      </c>
      <c r="W57" t="s">
        <v>32</v>
      </c>
    </row>
    <row r="58" spans="1:23" x14ac:dyDescent="0.45">
      <c r="A58" t="str" cm="1">
        <f t="array" ref="A58">_xlfn.IFS(B58&lt;30, "18-29", B58&lt;45,"30-44",B58&gt;=45,"45-55+")</f>
        <v>45-55+</v>
      </c>
      <c r="B58">
        <v>51</v>
      </c>
      <c r="C58" t="s">
        <v>33</v>
      </c>
      <c r="D58" t="s">
        <v>23</v>
      </c>
      <c r="E58" t="s">
        <v>44</v>
      </c>
      <c r="F58" t="s">
        <v>36</v>
      </c>
      <c r="G58" t="s">
        <v>51</v>
      </c>
      <c r="H58" t="s">
        <v>59</v>
      </c>
      <c r="I58">
        <v>132</v>
      </c>
      <c r="J58">
        <v>84</v>
      </c>
      <c r="K58" t="s">
        <v>28</v>
      </c>
      <c r="L58" t="s">
        <v>28</v>
      </c>
      <c r="M58" t="s">
        <v>28</v>
      </c>
      <c r="N58" t="s">
        <v>28</v>
      </c>
      <c r="O58" t="s">
        <v>28</v>
      </c>
      <c r="P58" t="s">
        <v>28</v>
      </c>
      <c r="Q58" t="s">
        <v>28</v>
      </c>
      <c r="R58" t="s">
        <v>28</v>
      </c>
      <c r="S58" t="s">
        <v>28</v>
      </c>
      <c r="T58" t="s">
        <v>30</v>
      </c>
      <c r="U58" t="s">
        <v>31</v>
      </c>
      <c r="V58" t="s">
        <v>29</v>
      </c>
      <c r="W58" t="s">
        <v>32</v>
      </c>
    </row>
    <row r="59" spans="1:23" x14ac:dyDescent="0.45">
      <c r="A59" t="str" cm="1">
        <f t="array" ref="A59">_xlfn.IFS(B59&lt;30, "18-29", B59&lt;45,"30-44",B59&gt;=45,"45-55+")</f>
        <v>45-55+</v>
      </c>
      <c r="B59">
        <v>51</v>
      </c>
      <c r="C59" t="s">
        <v>33</v>
      </c>
      <c r="D59" t="s">
        <v>23</v>
      </c>
      <c r="E59" t="s">
        <v>24</v>
      </c>
      <c r="F59" t="s">
        <v>36</v>
      </c>
      <c r="G59" t="s">
        <v>42</v>
      </c>
      <c r="H59" t="s">
        <v>73</v>
      </c>
      <c r="I59">
        <v>144</v>
      </c>
      <c r="J59">
        <v>97</v>
      </c>
      <c r="K59" t="s">
        <v>28</v>
      </c>
      <c r="L59" t="s">
        <v>28</v>
      </c>
      <c r="M59" t="s">
        <v>29</v>
      </c>
      <c r="N59" t="s">
        <v>29</v>
      </c>
      <c r="O59" t="s">
        <v>28</v>
      </c>
      <c r="P59" t="s">
        <v>28</v>
      </c>
      <c r="Q59" t="s">
        <v>28</v>
      </c>
      <c r="R59" t="s">
        <v>28</v>
      </c>
      <c r="S59" t="s">
        <v>28</v>
      </c>
      <c r="T59" t="s">
        <v>30</v>
      </c>
      <c r="U59" t="s">
        <v>31</v>
      </c>
      <c r="V59" t="s">
        <v>28</v>
      </c>
      <c r="W59" t="s">
        <v>39</v>
      </c>
    </row>
    <row r="60" spans="1:23" x14ac:dyDescent="0.45">
      <c r="A60" t="str" cm="1">
        <f t="array" ref="A60">_xlfn.IFS(B60&lt;30, "18-29", B60&lt;45,"30-44",B60&gt;=45,"45-55+")</f>
        <v>45-55+</v>
      </c>
      <c r="B60">
        <v>53</v>
      </c>
      <c r="C60" t="s">
        <v>33</v>
      </c>
      <c r="D60" t="s">
        <v>58</v>
      </c>
      <c r="E60" t="s">
        <v>44</v>
      </c>
      <c r="F60" t="s">
        <v>41</v>
      </c>
      <c r="G60" t="s">
        <v>42</v>
      </c>
      <c r="H60" t="s">
        <v>81</v>
      </c>
      <c r="I60">
        <v>152</v>
      </c>
      <c r="J60">
        <v>95</v>
      </c>
      <c r="K60" t="s">
        <v>28</v>
      </c>
      <c r="L60" t="s">
        <v>28</v>
      </c>
      <c r="M60" t="s">
        <v>29</v>
      </c>
      <c r="N60" t="s">
        <v>28</v>
      </c>
      <c r="O60" t="s">
        <v>29</v>
      </c>
      <c r="P60" t="s">
        <v>28</v>
      </c>
      <c r="Q60" t="s">
        <v>28</v>
      </c>
      <c r="R60" t="s">
        <v>28</v>
      </c>
      <c r="S60" t="s">
        <v>28</v>
      </c>
      <c r="T60" t="s">
        <v>30</v>
      </c>
      <c r="U60" t="s">
        <v>38</v>
      </c>
      <c r="V60" t="s">
        <v>29</v>
      </c>
      <c r="W60" t="s">
        <v>39</v>
      </c>
    </row>
    <row r="61" spans="1:23" x14ac:dyDescent="0.45">
      <c r="A61" t="str" cm="1">
        <f t="array" ref="A61">_xlfn.IFS(B61&lt;30, "18-29", B61&lt;45,"30-44",B61&gt;=45,"45-55+")</f>
        <v>45-55+</v>
      </c>
      <c r="B61">
        <v>53</v>
      </c>
      <c r="C61" t="s">
        <v>22</v>
      </c>
      <c r="D61" t="s">
        <v>49</v>
      </c>
      <c r="E61" t="s">
        <v>24</v>
      </c>
      <c r="F61" t="s">
        <v>41</v>
      </c>
      <c r="G61" t="s">
        <v>51</v>
      </c>
      <c r="H61" t="s">
        <v>82</v>
      </c>
      <c r="I61">
        <v>135</v>
      </c>
      <c r="J61">
        <v>91</v>
      </c>
      <c r="K61" t="s">
        <v>28</v>
      </c>
      <c r="L61" t="s">
        <v>28</v>
      </c>
      <c r="M61" t="s">
        <v>29</v>
      </c>
      <c r="N61" t="s">
        <v>28</v>
      </c>
      <c r="O61" t="s">
        <v>28</v>
      </c>
      <c r="P61" t="s">
        <v>28</v>
      </c>
      <c r="Q61" t="s">
        <v>28</v>
      </c>
      <c r="R61" t="s">
        <v>28</v>
      </c>
      <c r="S61" t="s">
        <v>28</v>
      </c>
      <c r="T61" t="s">
        <v>30</v>
      </c>
      <c r="U61" t="s">
        <v>38</v>
      </c>
      <c r="V61" t="s">
        <v>29</v>
      </c>
      <c r="W61" t="s">
        <v>39</v>
      </c>
    </row>
    <row r="62" spans="1:23" x14ac:dyDescent="0.45">
      <c r="A62" t="str" cm="1">
        <f t="array" ref="A62">_xlfn.IFS(B62&lt;30, "18-29", B62&lt;45,"30-44",B62&gt;=45,"45-55+")</f>
        <v>45-55+</v>
      </c>
      <c r="B62">
        <v>54</v>
      </c>
      <c r="C62" t="s">
        <v>33</v>
      </c>
      <c r="D62" t="s">
        <v>23</v>
      </c>
      <c r="E62" t="s">
        <v>24</v>
      </c>
      <c r="F62" t="s">
        <v>53</v>
      </c>
      <c r="G62" t="s">
        <v>26</v>
      </c>
      <c r="H62" t="s">
        <v>83</v>
      </c>
      <c r="I62">
        <v>146</v>
      </c>
      <c r="J62">
        <v>84</v>
      </c>
      <c r="K62" t="s">
        <v>28</v>
      </c>
      <c r="L62" t="s">
        <v>28</v>
      </c>
      <c r="M62" t="s">
        <v>29</v>
      </c>
      <c r="N62" t="s">
        <v>28</v>
      </c>
      <c r="O62" t="s">
        <v>29</v>
      </c>
      <c r="P62" t="s">
        <v>28</v>
      </c>
      <c r="Q62" t="s">
        <v>28</v>
      </c>
      <c r="R62" t="s">
        <v>28</v>
      </c>
      <c r="S62" t="s">
        <v>28</v>
      </c>
      <c r="T62" t="s">
        <v>30</v>
      </c>
      <c r="U62" t="s">
        <v>38</v>
      </c>
      <c r="V62" t="s">
        <v>29</v>
      </c>
      <c r="W62" t="s">
        <v>32</v>
      </c>
    </row>
    <row r="63" spans="1:23" x14ac:dyDescent="0.45">
      <c r="A63" t="str" cm="1">
        <f t="array" ref="A63">_xlfn.IFS(B63&lt;30, "18-29", B63&lt;45,"30-44",B63&gt;=45,"45-55+")</f>
        <v>45-55+</v>
      </c>
      <c r="B63">
        <v>55</v>
      </c>
      <c r="C63" t="s">
        <v>22</v>
      </c>
      <c r="D63" t="s">
        <v>61</v>
      </c>
      <c r="E63" t="s">
        <v>35</v>
      </c>
      <c r="F63" t="s">
        <v>36</v>
      </c>
      <c r="G63" t="s">
        <v>26</v>
      </c>
      <c r="H63" t="s">
        <v>37</v>
      </c>
      <c r="I63">
        <v>161</v>
      </c>
      <c r="J63">
        <v>89</v>
      </c>
      <c r="K63" t="s">
        <v>28</v>
      </c>
      <c r="L63" t="s">
        <v>28</v>
      </c>
      <c r="M63" t="s">
        <v>29</v>
      </c>
      <c r="N63" t="s">
        <v>28</v>
      </c>
      <c r="O63" t="s">
        <v>28</v>
      </c>
      <c r="P63" t="s">
        <v>28</v>
      </c>
      <c r="Q63" t="s">
        <v>28</v>
      </c>
      <c r="R63" t="s">
        <v>28</v>
      </c>
      <c r="S63" t="s">
        <v>28</v>
      </c>
      <c r="T63" t="s">
        <v>46</v>
      </c>
      <c r="U63" t="s">
        <v>31</v>
      </c>
      <c r="V63" t="s">
        <v>29</v>
      </c>
      <c r="W63" t="s">
        <v>39</v>
      </c>
    </row>
    <row r="64" spans="1:23" x14ac:dyDescent="0.45">
      <c r="A64" t="str" cm="1">
        <f t="array" ref="A64">_xlfn.IFS(B64&lt;30, "18-29", B64&lt;45,"30-44",B64&gt;=45,"45-55+")</f>
        <v>45-55+</v>
      </c>
      <c r="B64">
        <v>55</v>
      </c>
      <c r="C64" t="s">
        <v>22</v>
      </c>
      <c r="D64" t="s">
        <v>23</v>
      </c>
      <c r="E64" t="s">
        <v>44</v>
      </c>
      <c r="F64" t="s">
        <v>36</v>
      </c>
      <c r="G64" t="s">
        <v>51</v>
      </c>
      <c r="H64" t="s">
        <v>76</v>
      </c>
      <c r="I64">
        <v>155</v>
      </c>
      <c r="J64">
        <v>98</v>
      </c>
      <c r="K64" t="s">
        <v>28</v>
      </c>
      <c r="L64" t="s">
        <v>28</v>
      </c>
      <c r="M64" t="s">
        <v>29</v>
      </c>
      <c r="N64" t="s">
        <v>28</v>
      </c>
      <c r="O64" t="s">
        <v>28</v>
      </c>
      <c r="P64" t="s">
        <v>28</v>
      </c>
      <c r="Q64" t="s">
        <v>29</v>
      </c>
      <c r="R64" t="s">
        <v>28</v>
      </c>
      <c r="S64" t="s">
        <v>28</v>
      </c>
      <c r="T64" t="s">
        <v>30</v>
      </c>
      <c r="U64" t="s">
        <v>31</v>
      </c>
      <c r="V64" t="s">
        <v>29</v>
      </c>
      <c r="W64" t="s">
        <v>32</v>
      </c>
    </row>
    <row r="65" spans="1:23" x14ac:dyDescent="0.45">
      <c r="A65" t="str" cm="1">
        <f t="array" ref="A65">_xlfn.IFS(B65&lt;30, "18-29", B65&lt;45,"30-44",B65&gt;=45,"45-55+")</f>
        <v>45-55+</v>
      </c>
      <c r="B65">
        <v>56</v>
      </c>
      <c r="C65" t="s">
        <v>33</v>
      </c>
      <c r="D65" t="s">
        <v>40</v>
      </c>
      <c r="E65" t="s">
        <v>24</v>
      </c>
      <c r="F65" t="s">
        <v>41</v>
      </c>
      <c r="G65" t="s">
        <v>51</v>
      </c>
      <c r="H65" t="s">
        <v>52</v>
      </c>
      <c r="I65">
        <v>150</v>
      </c>
      <c r="J65">
        <v>99</v>
      </c>
      <c r="K65" t="s">
        <v>29</v>
      </c>
      <c r="L65" t="s">
        <v>28</v>
      </c>
      <c r="M65" t="s">
        <v>28</v>
      </c>
      <c r="N65" t="s">
        <v>28</v>
      </c>
      <c r="O65" t="s">
        <v>28</v>
      </c>
      <c r="P65" t="s">
        <v>28</v>
      </c>
      <c r="Q65" t="s">
        <v>28</v>
      </c>
      <c r="R65" t="s">
        <v>28</v>
      </c>
      <c r="S65" t="s">
        <v>28</v>
      </c>
      <c r="T65" t="s">
        <v>30</v>
      </c>
      <c r="U65" t="s">
        <v>31</v>
      </c>
      <c r="V65" t="s">
        <v>28</v>
      </c>
      <c r="W65" t="s">
        <v>39</v>
      </c>
    </row>
    <row r="66" spans="1:23" x14ac:dyDescent="0.45">
      <c r="A66" t="str" cm="1">
        <f t="array" ref="A66">_xlfn.IFS(B66&lt;30, "18-29", B66&lt;45,"30-44",B66&gt;=45,"45-55+")</f>
        <v>45-55+</v>
      </c>
      <c r="B66">
        <v>56</v>
      </c>
      <c r="C66" t="s">
        <v>22</v>
      </c>
      <c r="D66" t="s">
        <v>49</v>
      </c>
      <c r="E66" t="s">
        <v>24</v>
      </c>
      <c r="F66" t="s">
        <v>53</v>
      </c>
      <c r="G66" t="s">
        <v>26</v>
      </c>
      <c r="H66" t="s">
        <v>67</v>
      </c>
      <c r="I66">
        <v>127</v>
      </c>
      <c r="J66">
        <v>81</v>
      </c>
      <c r="K66" t="s">
        <v>28</v>
      </c>
      <c r="L66" t="s">
        <v>28</v>
      </c>
      <c r="M66" t="s">
        <v>29</v>
      </c>
      <c r="N66" t="s">
        <v>28</v>
      </c>
      <c r="O66" t="s">
        <v>28</v>
      </c>
      <c r="P66" t="s">
        <v>28</v>
      </c>
      <c r="Q66" t="s">
        <v>28</v>
      </c>
      <c r="R66" t="s">
        <v>28</v>
      </c>
      <c r="S66" t="s">
        <v>28</v>
      </c>
      <c r="T66" t="s">
        <v>46</v>
      </c>
      <c r="U66" t="s">
        <v>31</v>
      </c>
      <c r="V66" t="s">
        <v>29</v>
      </c>
      <c r="W66" t="s">
        <v>32</v>
      </c>
    </row>
    <row r="67" spans="1:23" x14ac:dyDescent="0.45">
      <c r="A67" t="str" cm="1">
        <f t="array" ref="A67">_xlfn.IFS(B67&lt;30, "18-29", B67&lt;45,"30-44",B67&gt;=45,"45-55+")</f>
        <v>45-55+</v>
      </c>
      <c r="B67">
        <v>56</v>
      </c>
      <c r="C67" t="s">
        <v>33</v>
      </c>
      <c r="D67" t="s">
        <v>49</v>
      </c>
      <c r="E67" t="s">
        <v>44</v>
      </c>
      <c r="F67" t="s">
        <v>36</v>
      </c>
      <c r="G67" t="s">
        <v>26</v>
      </c>
      <c r="H67" t="s">
        <v>90</v>
      </c>
      <c r="I67">
        <v>145</v>
      </c>
      <c r="J67">
        <v>81</v>
      </c>
      <c r="K67" t="s">
        <v>28</v>
      </c>
      <c r="L67" t="s">
        <v>28</v>
      </c>
      <c r="M67" t="s">
        <v>29</v>
      </c>
      <c r="N67" t="s">
        <v>28</v>
      </c>
      <c r="O67" t="s">
        <v>28</v>
      </c>
      <c r="P67" t="s">
        <v>28</v>
      </c>
      <c r="Q67" t="s">
        <v>28</v>
      </c>
      <c r="R67" t="s">
        <v>28</v>
      </c>
      <c r="S67" t="s">
        <v>28</v>
      </c>
      <c r="T67" t="s">
        <v>30</v>
      </c>
      <c r="U67" t="s">
        <v>31</v>
      </c>
      <c r="V67" t="s">
        <v>29</v>
      </c>
      <c r="W67" t="s">
        <v>39</v>
      </c>
    </row>
    <row r="68" spans="1:23" x14ac:dyDescent="0.45">
      <c r="A68" t="str" cm="1">
        <f t="array" ref="A68">_xlfn.IFS(B68&lt;30, "18-29", B68&lt;45,"30-44",B68&gt;=45,"45-55+")</f>
        <v>45-55+</v>
      </c>
      <c r="B68">
        <v>57</v>
      </c>
      <c r="C68" t="s">
        <v>22</v>
      </c>
      <c r="D68" t="s">
        <v>49</v>
      </c>
      <c r="E68" t="s">
        <v>55</v>
      </c>
      <c r="F68" t="s">
        <v>41</v>
      </c>
      <c r="G68" t="s">
        <v>26</v>
      </c>
      <c r="H68" t="s">
        <v>56</v>
      </c>
      <c r="I68">
        <v>149</v>
      </c>
      <c r="J68">
        <v>97</v>
      </c>
      <c r="K68" t="s">
        <v>29</v>
      </c>
      <c r="L68" t="s">
        <v>28</v>
      </c>
      <c r="M68" t="s">
        <v>28</v>
      </c>
      <c r="N68" t="s">
        <v>28</v>
      </c>
      <c r="O68" t="s">
        <v>29</v>
      </c>
      <c r="P68" t="s">
        <v>28</v>
      </c>
      <c r="Q68" t="s">
        <v>28</v>
      </c>
      <c r="R68" t="s">
        <v>28</v>
      </c>
      <c r="S68" t="s">
        <v>28</v>
      </c>
      <c r="T68" t="s">
        <v>30</v>
      </c>
      <c r="U68" t="s">
        <v>31</v>
      </c>
      <c r="V68" t="s">
        <v>29</v>
      </c>
      <c r="W68" t="s">
        <v>32</v>
      </c>
    </row>
    <row r="69" spans="1:23" x14ac:dyDescent="0.45">
      <c r="A69" t="str" cm="1">
        <f t="array" ref="A69">_xlfn.IFS(B69&lt;30, "18-29", B69&lt;45,"30-44",B69&gt;=45,"45-55+")</f>
        <v>45-55+</v>
      </c>
      <c r="B69">
        <v>58</v>
      </c>
      <c r="C69" t="s">
        <v>33</v>
      </c>
      <c r="D69" t="s">
        <v>40</v>
      </c>
      <c r="E69" t="s">
        <v>35</v>
      </c>
      <c r="F69" t="s">
        <v>36</v>
      </c>
      <c r="G69" t="s">
        <v>51</v>
      </c>
      <c r="H69" t="s">
        <v>74</v>
      </c>
      <c r="I69">
        <v>116</v>
      </c>
      <c r="J69">
        <v>100</v>
      </c>
      <c r="K69" t="s">
        <v>28</v>
      </c>
      <c r="L69" t="s">
        <v>28</v>
      </c>
      <c r="M69" t="s">
        <v>29</v>
      </c>
      <c r="N69" t="s">
        <v>28</v>
      </c>
      <c r="O69" t="s">
        <v>28</v>
      </c>
      <c r="P69" t="s">
        <v>28</v>
      </c>
      <c r="Q69" t="s">
        <v>29</v>
      </c>
      <c r="R69" t="s">
        <v>28</v>
      </c>
      <c r="S69" t="s">
        <v>28</v>
      </c>
      <c r="T69" t="s">
        <v>46</v>
      </c>
      <c r="U69" t="s">
        <v>38</v>
      </c>
      <c r="V69" t="s">
        <v>29</v>
      </c>
      <c r="W69" t="s">
        <v>32</v>
      </c>
    </row>
    <row r="70" spans="1:23" x14ac:dyDescent="0.45">
      <c r="A70" t="str" cm="1">
        <f t="array" ref="A70">_xlfn.IFS(B70&lt;30, "18-29", B70&lt;45,"30-44",B70&gt;=45,"45-55+")</f>
        <v>45-55+</v>
      </c>
      <c r="B70">
        <v>58</v>
      </c>
      <c r="C70" t="s">
        <v>22</v>
      </c>
      <c r="D70" t="s">
        <v>49</v>
      </c>
      <c r="E70" t="s">
        <v>35</v>
      </c>
      <c r="F70" t="s">
        <v>53</v>
      </c>
      <c r="G70" t="s">
        <v>51</v>
      </c>
      <c r="H70" t="s">
        <v>72</v>
      </c>
      <c r="I70">
        <v>178</v>
      </c>
      <c r="J70">
        <v>96</v>
      </c>
      <c r="K70" t="s">
        <v>28</v>
      </c>
      <c r="L70" t="s">
        <v>28</v>
      </c>
      <c r="M70" t="s">
        <v>28</v>
      </c>
      <c r="N70" t="s">
        <v>28</v>
      </c>
      <c r="O70" t="s">
        <v>29</v>
      </c>
      <c r="P70" t="s">
        <v>28</v>
      </c>
      <c r="Q70" t="s">
        <v>28</v>
      </c>
      <c r="R70" t="s">
        <v>28</v>
      </c>
      <c r="S70" t="s">
        <v>28</v>
      </c>
      <c r="T70" t="s">
        <v>46</v>
      </c>
      <c r="U70" t="s">
        <v>31</v>
      </c>
      <c r="V70" t="s">
        <v>29</v>
      </c>
      <c r="W70" t="s">
        <v>39</v>
      </c>
    </row>
    <row r="71" spans="1:23" x14ac:dyDescent="0.45">
      <c r="A71" t="str" cm="1">
        <f t="array" ref="A71">_xlfn.IFS(B71&lt;30, "18-29", B71&lt;45,"30-44",B71&gt;=45,"45-55+")</f>
        <v>45-55+</v>
      </c>
      <c r="B71">
        <v>58</v>
      </c>
      <c r="C71" t="s">
        <v>22</v>
      </c>
      <c r="D71" t="s">
        <v>23</v>
      </c>
      <c r="E71" t="s">
        <v>35</v>
      </c>
      <c r="F71" t="s">
        <v>36</v>
      </c>
      <c r="G71" t="s">
        <v>51</v>
      </c>
      <c r="H71" t="s">
        <v>76</v>
      </c>
      <c r="I71">
        <v>131</v>
      </c>
      <c r="J71">
        <v>96</v>
      </c>
      <c r="K71" t="s">
        <v>28</v>
      </c>
      <c r="L71" t="s">
        <v>28</v>
      </c>
      <c r="M71" t="s">
        <v>29</v>
      </c>
      <c r="N71" t="s">
        <v>28</v>
      </c>
      <c r="O71" t="s">
        <v>28</v>
      </c>
      <c r="P71" t="s">
        <v>28</v>
      </c>
      <c r="Q71" t="s">
        <v>28</v>
      </c>
      <c r="R71" t="s">
        <v>28</v>
      </c>
      <c r="S71" t="s">
        <v>28</v>
      </c>
      <c r="T71" t="s">
        <v>30</v>
      </c>
      <c r="U71" t="s">
        <v>31</v>
      </c>
      <c r="V71" t="s">
        <v>29</v>
      </c>
      <c r="W71" t="s">
        <v>32</v>
      </c>
    </row>
    <row r="72" spans="1:23" x14ac:dyDescent="0.45">
      <c r="A72" t="str" cm="1">
        <f t="array" ref="A72">_xlfn.IFS(B72&lt;30, "18-29", B72&lt;45,"30-44",B72&gt;=45,"45-55+")</f>
        <v>45-55+</v>
      </c>
      <c r="B72">
        <v>59</v>
      </c>
      <c r="C72" t="s">
        <v>22</v>
      </c>
      <c r="D72" t="s">
        <v>23</v>
      </c>
      <c r="E72" t="s">
        <v>60</v>
      </c>
      <c r="F72" t="s">
        <v>41</v>
      </c>
      <c r="G72" t="s">
        <v>26</v>
      </c>
      <c r="H72" t="s">
        <v>75</v>
      </c>
      <c r="I72">
        <v>163</v>
      </c>
      <c r="J72">
        <v>93</v>
      </c>
      <c r="K72" t="s">
        <v>29</v>
      </c>
      <c r="L72" t="s">
        <v>28</v>
      </c>
      <c r="M72" t="s">
        <v>28</v>
      </c>
      <c r="N72" t="s">
        <v>28</v>
      </c>
      <c r="O72" t="s">
        <v>28</v>
      </c>
      <c r="P72" t="s">
        <v>28</v>
      </c>
      <c r="Q72" t="s">
        <v>28</v>
      </c>
      <c r="R72" t="s">
        <v>28</v>
      </c>
      <c r="S72" t="s">
        <v>28</v>
      </c>
      <c r="T72" t="s">
        <v>30</v>
      </c>
      <c r="U72" t="s">
        <v>31</v>
      </c>
      <c r="V72" t="s">
        <v>29</v>
      </c>
      <c r="W72" t="s">
        <v>32</v>
      </c>
    </row>
    <row r="73" spans="1:23" x14ac:dyDescent="0.45">
      <c r="A73" t="str" cm="1">
        <f t="array" ref="A73">_xlfn.IFS(B73&lt;30, "18-29", B73&lt;45,"30-44",B73&gt;=45,"45-55+")</f>
        <v>45-55+</v>
      </c>
      <c r="B73">
        <v>59</v>
      </c>
      <c r="C73" t="s">
        <v>33</v>
      </c>
      <c r="D73" t="s">
        <v>61</v>
      </c>
      <c r="E73" t="s">
        <v>60</v>
      </c>
      <c r="F73" t="s">
        <v>36</v>
      </c>
      <c r="G73" t="s">
        <v>26</v>
      </c>
      <c r="H73" t="s">
        <v>67</v>
      </c>
      <c r="I73">
        <v>170</v>
      </c>
      <c r="J73">
        <v>75</v>
      </c>
      <c r="K73" t="s">
        <v>28</v>
      </c>
      <c r="L73" t="s">
        <v>28</v>
      </c>
      <c r="M73" t="s">
        <v>29</v>
      </c>
      <c r="N73" t="s">
        <v>28</v>
      </c>
      <c r="O73" t="s">
        <v>28</v>
      </c>
      <c r="P73" t="s">
        <v>28</v>
      </c>
      <c r="Q73" t="s">
        <v>28</v>
      </c>
      <c r="R73" t="s">
        <v>28</v>
      </c>
      <c r="S73" t="s">
        <v>28</v>
      </c>
      <c r="T73" t="s">
        <v>46</v>
      </c>
      <c r="U73" t="s">
        <v>31</v>
      </c>
      <c r="V73" t="s">
        <v>29</v>
      </c>
      <c r="W73" t="s">
        <v>32</v>
      </c>
    </row>
    <row r="74" spans="1:23" x14ac:dyDescent="0.45">
      <c r="A74" t="str" cm="1">
        <f t="array" ref="A74">_xlfn.IFS(B74&lt;30, "18-29", B74&lt;45,"30-44",B74&gt;=45,"45-55+")</f>
        <v>45-55+</v>
      </c>
      <c r="B74">
        <v>59</v>
      </c>
      <c r="C74" t="s">
        <v>22</v>
      </c>
      <c r="D74" t="s">
        <v>49</v>
      </c>
      <c r="E74" t="s">
        <v>24</v>
      </c>
      <c r="F74" t="s">
        <v>25</v>
      </c>
      <c r="G74" t="s">
        <v>51</v>
      </c>
      <c r="H74" t="s">
        <v>70</v>
      </c>
      <c r="I74">
        <v>108</v>
      </c>
      <c r="J74">
        <v>107</v>
      </c>
      <c r="K74" t="s">
        <v>28</v>
      </c>
      <c r="L74" t="s">
        <v>28</v>
      </c>
      <c r="M74" t="s">
        <v>29</v>
      </c>
      <c r="N74" t="s">
        <v>28</v>
      </c>
      <c r="O74" t="s">
        <v>28</v>
      </c>
      <c r="P74" t="s">
        <v>28</v>
      </c>
      <c r="Q74" t="s">
        <v>28</v>
      </c>
      <c r="R74" t="s">
        <v>28</v>
      </c>
      <c r="S74" t="s">
        <v>28</v>
      </c>
      <c r="T74" t="s">
        <v>46</v>
      </c>
      <c r="U74" t="s">
        <v>38</v>
      </c>
      <c r="V74" t="s">
        <v>29</v>
      </c>
      <c r="W74" t="s">
        <v>39</v>
      </c>
    </row>
    <row r="75" spans="1:23" x14ac:dyDescent="0.45">
      <c r="A75" t="str" cm="1">
        <f t="array" ref="A75">_xlfn.IFS(B75&lt;30, "18-29", B75&lt;45,"30-44",B75&gt;=45,"45-55+")</f>
        <v>45-55+</v>
      </c>
      <c r="B75">
        <v>60</v>
      </c>
      <c r="C75" t="s">
        <v>33</v>
      </c>
      <c r="D75" t="s">
        <v>58</v>
      </c>
      <c r="E75" t="s">
        <v>55</v>
      </c>
      <c r="F75" t="s">
        <v>36</v>
      </c>
      <c r="G75" t="s">
        <v>51</v>
      </c>
      <c r="H75" t="s">
        <v>54</v>
      </c>
      <c r="I75">
        <v>153</v>
      </c>
      <c r="J75">
        <v>83</v>
      </c>
      <c r="K75" t="s">
        <v>28</v>
      </c>
      <c r="L75" t="s">
        <v>28</v>
      </c>
      <c r="M75" t="s">
        <v>29</v>
      </c>
      <c r="N75" t="s">
        <v>28</v>
      </c>
      <c r="O75" t="s">
        <v>28</v>
      </c>
      <c r="P75" t="s">
        <v>28</v>
      </c>
      <c r="Q75" t="s">
        <v>28</v>
      </c>
      <c r="R75" t="s">
        <v>28</v>
      </c>
      <c r="S75" t="s">
        <v>28</v>
      </c>
      <c r="T75" t="s">
        <v>30</v>
      </c>
      <c r="U75" t="s">
        <v>31</v>
      </c>
      <c r="V75" t="s">
        <v>29</v>
      </c>
      <c r="W75" t="s">
        <v>32</v>
      </c>
    </row>
    <row r="76" spans="1:23" x14ac:dyDescent="0.45">
      <c r="A76" t="str" cm="1">
        <f t="array" ref="A76">_xlfn.IFS(B76&lt;30, "18-29", B76&lt;45,"30-44",B76&gt;=45,"45-55+")</f>
        <v>45-55+</v>
      </c>
      <c r="B76">
        <v>60</v>
      </c>
      <c r="C76" t="s">
        <v>33</v>
      </c>
      <c r="D76" t="s">
        <v>34</v>
      </c>
      <c r="E76" t="s">
        <v>44</v>
      </c>
      <c r="F76" t="s">
        <v>36</v>
      </c>
      <c r="G76" t="s">
        <v>51</v>
      </c>
      <c r="H76" t="s">
        <v>92</v>
      </c>
      <c r="I76">
        <v>146</v>
      </c>
      <c r="J76">
        <v>84</v>
      </c>
      <c r="K76" t="s">
        <v>28</v>
      </c>
      <c r="L76" t="s">
        <v>28</v>
      </c>
      <c r="M76" t="s">
        <v>29</v>
      </c>
      <c r="N76" t="s">
        <v>28</v>
      </c>
      <c r="O76" t="s">
        <v>28</v>
      </c>
      <c r="P76" t="s">
        <v>28</v>
      </c>
      <c r="Q76" t="s">
        <v>28</v>
      </c>
      <c r="R76" t="s">
        <v>28</v>
      </c>
      <c r="S76" t="s">
        <v>28</v>
      </c>
      <c r="T76" t="s">
        <v>30</v>
      </c>
      <c r="U76" t="s">
        <v>31</v>
      </c>
      <c r="V76" t="s">
        <v>29</v>
      </c>
      <c r="W76" t="s">
        <v>39</v>
      </c>
    </row>
    <row r="77" spans="1:23" x14ac:dyDescent="0.45">
      <c r="A77" t="str" cm="1">
        <f t="array" ref="A77">_xlfn.IFS(B77&lt;30, "18-29", B77&lt;45,"30-44",B77&gt;=45,"45-55+")</f>
        <v>45-55+</v>
      </c>
      <c r="B77">
        <v>61</v>
      </c>
      <c r="C77" t="s">
        <v>33</v>
      </c>
      <c r="D77" t="s">
        <v>40</v>
      </c>
      <c r="E77" t="s">
        <v>35</v>
      </c>
      <c r="F77" t="s">
        <v>41</v>
      </c>
      <c r="G77" t="s">
        <v>42</v>
      </c>
      <c r="H77" t="s">
        <v>43</v>
      </c>
      <c r="I77">
        <v>133</v>
      </c>
      <c r="J77">
        <v>100</v>
      </c>
      <c r="K77" t="s">
        <v>28</v>
      </c>
      <c r="L77" t="s">
        <v>28</v>
      </c>
      <c r="M77" t="s">
        <v>29</v>
      </c>
      <c r="N77" t="s">
        <v>28</v>
      </c>
      <c r="O77" t="s">
        <v>28</v>
      </c>
      <c r="P77" t="s">
        <v>28</v>
      </c>
      <c r="Q77" t="s">
        <v>29</v>
      </c>
      <c r="R77" t="s">
        <v>28</v>
      </c>
      <c r="S77" t="s">
        <v>28</v>
      </c>
      <c r="T77" t="s">
        <v>30</v>
      </c>
      <c r="U77" t="s">
        <v>38</v>
      </c>
      <c r="V77" t="s">
        <v>29</v>
      </c>
      <c r="W77" t="s">
        <v>39</v>
      </c>
    </row>
    <row r="78" spans="1:23" x14ac:dyDescent="0.45">
      <c r="A78" t="str" cm="1">
        <f t="array" ref="A78">_xlfn.IFS(B78&lt;30, "18-29", B78&lt;45,"30-44",B78&gt;=45,"45-55+")</f>
        <v>45-55+</v>
      </c>
      <c r="B78">
        <v>61</v>
      </c>
      <c r="C78" t="s">
        <v>33</v>
      </c>
      <c r="D78" t="s">
        <v>58</v>
      </c>
      <c r="E78" t="s">
        <v>55</v>
      </c>
      <c r="F78" t="s">
        <v>41</v>
      </c>
      <c r="G78" t="s">
        <v>51</v>
      </c>
      <c r="H78" t="s">
        <v>70</v>
      </c>
      <c r="I78">
        <v>139</v>
      </c>
      <c r="J78">
        <v>97</v>
      </c>
      <c r="K78" t="s">
        <v>28</v>
      </c>
      <c r="L78" t="s">
        <v>28</v>
      </c>
      <c r="M78" t="s">
        <v>28</v>
      </c>
      <c r="N78" t="s">
        <v>28</v>
      </c>
      <c r="O78" t="s">
        <v>28</v>
      </c>
      <c r="P78" t="s">
        <v>28</v>
      </c>
      <c r="Q78" t="s">
        <v>28</v>
      </c>
      <c r="R78" t="s">
        <v>28</v>
      </c>
      <c r="S78" t="s">
        <v>28</v>
      </c>
      <c r="T78" t="s">
        <v>30</v>
      </c>
      <c r="U78" t="s">
        <v>38</v>
      </c>
      <c r="V78" t="s">
        <v>29</v>
      </c>
      <c r="W78" t="s">
        <v>39</v>
      </c>
    </row>
    <row r="79" spans="1:23" x14ac:dyDescent="0.45">
      <c r="A79" t="str" cm="1">
        <f t="array" ref="A79">_xlfn.IFS(B79&lt;30, "18-29", B79&lt;45,"30-44",B79&gt;=45,"45-55+")</f>
        <v>45-55+</v>
      </c>
      <c r="B79">
        <v>62</v>
      </c>
      <c r="C79" t="s">
        <v>33</v>
      </c>
      <c r="D79" t="s">
        <v>23</v>
      </c>
      <c r="E79" t="s">
        <v>44</v>
      </c>
      <c r="F79" t="s">
        <v>41</v>
      </c>
      <c r="G79" t="s">
        <v>42</v>
      </c>
      <c r="H79" t="s">
        <v>62</v>
      </c>
      <c r="I79">
        <v>160</v>
      </c>
      <c r="J79">
        <v>85</v>
      </c>
      <c r="K79" t="s">
        <v>28</v>
      </c>
      <c r="L79" t="s">
        <v>28</v>
      </c>
      <c r="M79" t="s">
        <v>29</v>
      </c>
      <c r="N79" t="s">
        <v>28</v>
      </c>
      <c r="O79" t="s">
        <v>28</v>
      </c>
      <c r="P79" t="s">
        <v>28</v>
      </c>
      <c r="Q79" t="s">
        <v>29</v>
      </c>
      <c r="R79" t="s">
        <v>28</v>
      </c>
      <c r="S79" t="s">
        <v>28</v>
      </c>
      <c r="T79" t="s">
        <v>46</v>
      </c>
      <c r="U79" t="s">
        <v>31</v>
      </c>
      <c r="V79" t="s">
        <v>29</v>
      </c>
      <c r="W79" t="s">
        <v>39</v>
      </c>
    </row>
    <row r="80" spans="1:23" x14ac:dyDescent="0.45">
      <c r="A80" t="str" cm="1">
        <f t="array" ref="A80">_xlfn.IFS(B80&lt;30, "18-29", B80&lt;45,"30-44",B80&gt;=45,"45-55+")</f>
        <v>45-55+</v>
      </c>
      <c r="B80">
        <v>62</v>
      </c>
      <c r="C80" t="s">
        <v>33</v>
      </c>
      <c r="D80" t="s">
        <v>58</v>
      </c>
      <c r="E80" t="s">
        <v>24</v>
      </c>
      <c r="F80" t="s">
        <v>36</v>
      </c>
      <c r="G80" t="s">
        <v>26</v>
      </c>
      <c r="H80" t="s">
        <v>66</v>
      </c>
      <c r="I80">
        <v>160</v>
      </c>
      <c r="J80">
        <v>95</v>
      </c>
      <c r="K80" t="s">
        <v>28</v>
      </c>
      <c r="L80" t="s">
        <v>28</v>
      </c>
      <c r="M80" t="s">
        <v>29</v>
      </c>
      <c r="N80" t="s">
        <v>28</v>
      </c>
      <c r="O80" t="s">
        <v>28</v>
      </c>
      <c r="P80" t="s">
        <v>28</v>
      </c>
      <c r="Q80" t="s">
        <v>28</v>
      </c>
      <c r="R80" t="s">
        <v>29</v>
      </c>
      <c r="S80" t="s">
        <v>28</v>
      </c>
      <c r="T80" t="s">
        <v>30</v>
      </c>
      <c r="U80" t="s">
        <v>38</v>
      </c>
      <c r="V80" t="s">
        <v>28</v>
      </c>
      <c r="W80" t="s">
        <v>39</v>
      </c>
    </row>
    <row r="81" spans="1:23" x14ac:dyDescent="0.45">
      <c r="A81" t="str" cm="1">
        <f t="array" ref="A81">_xlfn.IFS(B81&lt;30, "18-29", B81&lt;45,"30-44",B81&gt;=45,"45-55+")</f>
        <v>45-55+</v>
      </c>
      <c r="B81">
        <v>62</v>
      </c>
      <c r="C81" t="s">
        <v>33</v>
      </c>
      <c r="D81" t="s">
        <v>40</v>
      </c>
      <c r="E81" t="s">
        <v>35</v>
      </c>
      <c r="F81" t="s">
        <v>36</v>
      </c>
      <c r="G81" t="s">
        <v>26</v>
      </c>
      <c r="H81" t="s">
        <v>79</v>
      </c>
      <c r="I81">
        <v>174</v>
      </c>
      <c r="J81">
        <v>95</v>
      </c>
      <c r="K81" t="s">
        <v>28</v>
      </c>
      <c r="L81" t="s">
        <v>28</v>
      </c>
      <c r="M81" t="s">
        <v>29</v>
      </c>
      <c r="N81" t="s">
        <v>28</v>
      </c>
      <c r="O81" t="s">
        <v>28</v>
      </c>
      <c r="P81" t="s">
        <v>28</v>
      </c>
      <c r="Q81" t="s">
        <v>28</v>
      </c>
      <c r="R81" t="s">
        <v>28</v>
      </c>
      <c r="S81" t="s">
        <v>28</v>
      </c>
      <c r="T81" t="s">
        <v>30</v>
      </c>
      <c r="U81" t="s">
        <v>31</v>
      </c>
      <c r="V81" t="s">
        <v>29</v>
      </c>
      <c r="W81" t="s">
        <v>39</v>
      </c>
    </row>
    <row r="82" spans="1:23" x14ac:dyDescent="0.45">
      <c r="A82" t="str" cm="1">
        <f t="array" ref="A82">_xlfn.IFS(B82&lt;30, "18-29", B82&lt;45,"30-44",B82&gt;=45,"45-55+")</f>
        <v>45-55+</v>
      </c>
      <c r="B82">
        <v>62</v>
      </c>
      <c r="C82" t="s">
        <v>33</v>
      </c>
      <c r="D82" t="s">
        <v>23</v>
      </c>
      <c r="E82" t="s">
        <v>44</v>
      </c>
      <c r="F82" t="s">
        <v>36</v>
      </c>
      <c r="G82" t="s">
        <v>42</v>
      </c>
      <c r="H82" t="s">
        <v>73</v>
      </c>
      <c r="I82">
        <v>124</v>
      </c>
      <c r="J82">
        <v>83</v>
      </c>
      <c r="K82" t="s">
        <v>28</v>
      </c>
      <c r="L82" t="s">
        <v>28</v>
      </c>
      <c r="M82" t="s">
        <v>29</v>
      </c>
      <c r="N82" t="s">
        <v>28</v>
      </c>
      <c r="O82" t="s">
        <v>28</v>
      </c>
      <c r="P82" t="s">
        <v>28</v>
      </c>
      <c r="Q82" t="s">
        <v>29</v>
      </c>
      <c r="R82" t="s">
        <v>28</v>
      </c>
      <c r="S82" t="s">
        <v>28</v>
      </c>
      <c r="T82" t="s">
        <v>30</v>
      </c>
      <c r="U82" t="s">
        <v>31</v>
      </c>
      <c r="V82" t="s">
        <v>29</v>
      </c>
      <c r="W82" t="s">
        <v>39</v>
      </c>
    </row>
    <row r="83" spans="1:23" x14ac:dyDescent="0.45">
      <c r="A83" t="str" cm="1">
        <f t="array" ref="A83">_xlfn.IFS(B83&lt;30, "18-29", B83&lt;45,"30-44",B83&gt;=45,"45-55+")</f>
        <v>45-55+</v>
      </c>
      <c r="B83">
        <v>62</v>
      </c>
      <c r="C83" t="s">
        <v>33</v>
      </c>
      <c r="D83" t="s">
        <v>23</v>
      </c>
      <c r="E83" t="s">
        <v>55</v>
      </c>
      <c r="F83" t="s">
        <v>41</v>
      </c>
      <c r="G83" t="s">
        <v>42</v>
      </c>
      <c r="H83" t="s">
        <v>81</v>
      </c>
      <c r="I83">
        <v>145</v>
      </c>
      <c r="J83">
        <v>90</v>
      </c>
      <c r="K83" t="s">
        <v>28</v>
      </c>
      <c r="L83" t="s">
        <v>28</v>
      </c>
      <c r="M83" t="s">
        <v>29</v>
      </c>
      <c r="N83" t="s">
        <v>29</v>
      </c>
      <c r="O83" t="s">
        <v>28</v>
      </c>
      <c r="P83" t="s">
        <v>28</v>
      </c>
      <c r="Q83" t="s">
        <v>28</v>
      </c>
      <c r="R83" t="s">
        <v>28</v>
      </c>
      <c r="S83" t="s">
        <v>28</v>
      </c>
      <c r="T83" t="s">
        <v>30</v>
      </c>
      <c r="U83" t="s">
        <v>31</v>
      </c>
      <c r="V83" t="s">
        <v>29</v>
      </c>
      <c r="W83" t="s">
        <v>39</v>
      </c>
    </row>
    <row r="84" spans="1:23" x14ac:dyDescent="0.45">
      <c r="A84" t="str" cm="1">
        <f t="array" ref="A84">_xlfn.IFS(B84&lt;30, "18-29", B84&lt;45,"30-44",B84&gt;=45,"45-55+")</f>
        <v>45-55+</v>
      </c>
      <c r="B84">
        <v>64</v>
      </c>
      <c r="C84" t="s">
        <v>22</v>
      </c>
      <c r="D84" t="s">
        <v>23</v>
      </c>
      <c r="E84" t="s">
        <v>60</v>
      </c>
      <c r="F84" t="s">
        <v>36</v>
      </c>
      <c r="G84" t="s">
        <v>26</v>
      </c>
      <c r="H84" t="s">
        <v>96</v>
      </c>
      <c r="I84">
        <v>138</v>
      </c>
      <c r="J84">
        <v>80</v>
      </c>
      <c r="K84" t="s">
        <v>28</v>
      </c>
      <c r="L84" t="s">
        <v>28</v>
      </c>
      <c r="M84" t="s">
        <v>28</v>
      </c>
      <c r="N84" t="s">
        <v>28</v>
      </c>
      <c r="O84" t="s">
        <v>28</v>
      </c>
      <c r="P84" t="s">
        <v>28</v>
      </c>
      <c r="Q84" t="s">
        <v>28</v>
      </c>
      <c r="R84" t="s">
        <v>28</v>
      </c>
      <c r="S84" t="s">
        <v>28</v>
      </c>
      <c r="T84" t="s">
        <v>46</v>
      </c>
      <c r="U84" t="s">
        <v>38</v>
      </c>
      <c r="V84" t="s">
        <v>29</v>
      </c>
      <c r="W84" t="s">
        <v>39</v>
      </c>
    </row>
    <row r="85" spans="1:23" x14ac:dyDescent="0.45">
      <c r="A85" t="str" cm="1">
        <f t="array" ref="A85">_xlfn.IFS(B85&lt;30, "18-29", B85&lt;45,"30-44",B85&gt;=45,"45-55+")</f>
        <v>45-55+</v>
      </c>
      <c r="B85">
        <v>65</v>
      </c>
      <c r="C85" t="s">
        <v>33</v>
      </c>
      <c r="D85" t="s">
        <v>23</v>
      </c>
      <c r="E85" t="s">
        <v>44</v>
      </c>
      <c r="F85" t="s">
        <v>36</v>
      </c>
      <c r="G85" t="s">
        <v>42</v>
      </c>
      <c r="H85" t="s">
        <v>47</v>
      </c>
      <c r="I85">
        <v>146</v>
      </c>
      <c r="J85">
        <v>93</v>
      </c>
      <c r="K85" t="s">
        <v>28</v>
      </c>
      <c r="L85" t="s">
        <v>28</v>
      </c>
      <c r="M85" t="s">
        <v>28</v>
      </c>
      <c r="N85" t="s">
        <v>28</v>
      </c>
      <c r="O85" t="s">
        <v>28</v>
      </c>
      <c r="P85" t="s">
        <v>28</v>
      </c>
      <c r="Q85" t="s">
        <v>28</v>
      </c>
      <c r="R85" t="s">
        <v>28</v>
      </c>
      <c r="S85" t="s">
        <v>28</v>
      </c>
      <c r="T85" t="s">
        <v>30</v>
      </c>
      <c r="U85" t="s">
        <v>38</v>
      </c>
      <c r="V85" t="s">
        <v>28</v>
      </c>
      <c r="W85" t="s">
        <v>32</v>
      </c>
    </row>
    <row r="86" spans="1:23" x14ac:dyDescent="0.45">
      <c r="A86" t="str" cm="1">
        <f t="array" ref="A86">_xlfn.IFS(B86&lt;30, "18-29", B86&lt;45,"30-44",B86&gt;=45,"45-55+")</f>
        <v>45-55+</v>
      </c>
      <c r="B86">
        <v>65</v>
      </c>
      <c r="C86" t="s">
        <v>22</v>
      </c>
      <c r="D86" t="s">
        <v>23</v>
      </c>
      <c r="E86" t="s">
        <v>35</v>
      </c>
      <c r="F86" t="s">
        <v>53</v>
      </c>
      <c r="G86" t="s">
        <v>51</v>
      </c>
      <c r="H86" t="s">
        <v>57</v>
      </c>
      <c r="I86">
        <v>145</v>
      </c>
      <c r="J86">
        <v>95</v>
      </c>
      <c r="K86" t="s">
        <v>28</v>
      </c>
      <c r="L86" t="s">
        <v>28</v>
      </c>
      <c r="M86" t="s">
        <v>29</v>
      </c>
      <c r="N86" t="s">
        <v>28</v>
      </c>
      <c r="O86" t="s">
        <v>28</v>
      </c>
      <c r="P86" t="s">
        <v>28</v>
      </c>
      <c r="Q86" t="s">
        <v>28</v>
      </c>
      <c r="R86" t="s">
        <v>28</v>
      </c>
      <c r="S86" t="s">
        <v>28</v>
      </c>
      <c r="T86" t="s">
        <v>30</v>
      </c>
      <c r="U86" t="s">
        <v>31</v>
      </c>
      <c r="V86" t="s">
        <v>29</v>
      </c>
      <c r="W86" t="s">
        <v>32</v>
      </c>
    </row>
    <row r="87" spans="1:23" x14ac:dyDescent="0.45">
      <c r="A87" t="str" cm="1">
        <f t="array" ref="A87">_xlfn.IFS(B87&lt;30, "18-29", B87&lt;45,"30-44",B87&gt;=45,"45-55+")</f>
        <v>45-55+</v>
      </c>
      <c r="B87">
        <v>65</v>
      </c>
      <c r="C87" t="s">
        <v>22</v>
      </c>
      <c r="D87" t="s">
        <v>40</v>
      </c>
      <c r="E87" t="s">
        <v>35</v>
      </c>
      <c r="F87" t="s">
        <v>36</v>
      </c>
      <c r="G87" t="s">
        <v>26</v>
      </c>
      <c r="H87" t="s">
        <v>67</v>
      </c>
      <c r="I87">
        <v>162</v>
      </c>
      <c r="J87">
        <v>77</v>
      </c>
      <c r="K87" t="s">
        <v>28</v>
      </c>
      <c r="L87" t="s">
        <v>28</v>
      </c>
      <c r="M87" t="s">
        <v>29</v>
      </c>
      <c r="N87" t="s">
        <v>28</v>
      </c>
      <c r="O87" t="s">
        <v>28</v>
      </c>
      <c r="P87" t="s">
        <v>28</v>
      </c>
      <c r="Q87" t="s">
        <v>28</v>
      </c>
      <c r="R87" t="s">
        <v>29</v>
      </c>
      <c r="S87" t="s">
        <v>28</v>
      </c>
      <c r="T87" t="s">
        <v>30</v>
      </c>
      <c r="U87" t="s">
        <v>31</v>
      </c>
      <c r="V87" t="s">
        <v>29</v>
      </c>
      <c r="W87" t="s">
        <v>32</v>
      </c>
    </row>
    <row r="88" spans="1:23" x14ac:dyDescent="0.45">
      <c r="A88" t="str" cm="1">
        <f t="array" ref="A88">_xlfn.IFS(B88&lt;30, "18-29", B88&lt;45,"30-44",B88&gt;=45,"45-55+")</f>
        <v>45-55+</v>
      </c>
      <c r="B88">
        <v>65</v>
      </c>
      <c r="C88" t="s">
        <v>22</v>
      </c>
      <c r="D88" t="s">
        <v>49</v>
      </c>
      <c r="E88" t="s">
        <v>44</v>
      </c>
      <c r="F88" t="s">
        <v>36</v>
      </c>
      <c r="G88" t="s">
        <v>51</v>
      </c>
      <c r="H88" t="s">
        <v>70</v>
      </c>
      <c r="I88">
        <v>158</v>
      </c>
      <c r="J88">
        <v>79</v>
      </c>
      <c r="K88" t="s">
        <v>28</v>
      </c>
      <c r="L88" t="s">
        <v>28</v>
      </c>
      <c r="M88" t="s">
        <v>29</v>
      </c>
      <c r="N88" t="s">
        <v>28</v>
      </c>
      <c r="O88" t="s">
        <v>28</v>
      </c>
      <c r="P88" t="s">
        <v>28</v>
      </c>
      <c r="Q88" t="s">
        <v>28</v>
      </c>
      <c r="R88" t="s">
        <v>28</v>
      </c>
      <c r="S88" t="s">
        <v>28</v>
      </c>
      <c r="T88" t="s">
        <v>30</v>
      </c>
      <c r="U88" t="s">
        <v>31</v>
      </c>
      <c r="V88" t="s">
        <v>28</v>
      </c>
      <c r="W88" t="s">
        <v>39</v>
      </c>
    </row>
    <row r="89" spans="1:23" x14ac:dyDescent="0.45">
      <c r="A89" t="str" cm="1">
        <f t="array" ref="A89">_xlfn.IFS(B89&lt;30, "18-29", B89&lt;45,"30-44",B89&gt;=45,"45-55+")</f>
        <v>45-55+</v>
      </c>
      <c r="B89">
        <v>65</v>
      </c>
      <c r="C89" t="s">
        <v>22</v>
      </c>
      <c r="D89" t="s">
        <v>49</v>
      </c>
      <c r="E89" t="s">
        <v>44</v>
      </c>
      <c r="F89" t="s">
        <v>41</v>
      </c>
      <c r="G89" t="s">
        <v>26</v>
      </c>
      <c r="H89" t="s">
        <v>79</v>
      </c>
      <c r="I89">
        <v>121</v>
      </c>
      <c r="J89">
        <v>100</v>
      </c>
      <c r="K89" t="s">
        <v>28</v>
      </c>
      <c r="L89" t="s">
        <v>28</v>
      </c>
      <c r="M89" t="s">
        <v>29</v>
      </c>
      <c r="N89" t="s">
        <v>28</v>
      </c>
      <c r="O89" t="s">
        <v>28</v>
      </c>
      <c r="P89" t="s">
        <v>28</v>
      </c>
      <c r="Q89" t="s">
        <v>28</v>
      </c>
      <c r="R89" t="s">
        <v>28</v>
      </c>
      <c r="S89" t="s">
        <v>28</v>
      </c>
      <c r="T89" t="s">
        <v>46</v>
      </c>
      <c r="U89" t="s">
        <v>31</v>
      </c>
      <c r="V89" t="s">
        <v>28</v>
      </c>
      <c r="W89" t="s">
        <v>32</v>
      </c>
    </row>
    <row r="90" spans="1:23" x14ac:dyDescent="0.45">
      <c r="A90" t="str" cm="1">
        <f t="array" ref="A90">_xlfn.IFS(B90&lt;30, "18-29", B90&lt;45,"30-44",B90&gt;=45,"45-55+")</f>
        <v>45-55+</v>
      </c>
      <c r="B90">
        <v>66</v>
      </c>
      <c r="C90" t="s">
        <v>33</v>
      </c>
      <c r="D90" t="s">
        <v>40</v>
      </c>
      <c r="E90" t="s">
        <v>44</v>
      </c>
      <c r="F90" t="s">
        <v>36</v>
      </c>
      <c r="G90" t="s">
        <v>26</v>
      </c>
      <c r="H90" t="s">
        <v>67</v>
      </c>
      <c r="I90">
        <v>139</v>
      </c>
      <c r="J90">
        <v>80</v>
      </c>
      <c r="K90" t="s">
        <v>29</v>
      </c>
      <c r="L90" t="s">
        <v>29</v>
      </c>
      <c r="M90" t="s">
        <v>29</v>
      </c>
      <c r="N90" t="s">
        <v>28</v>
      </c>
      <c r="O90" t="s">
        <v>28</v>
      </c>
      <c r="P90" t="s">
        <v>28</v>
      </c>
      <c r="Q90" t="s">
        <v>28</v>
      </c>
      <c r="R90" t="s">
        <v>29</v>
      </c>
      <c r="S90" t="s">
        <v>28</v>
      </c>
      <c r="T90" t="s">
        <v>30</v>
      </c>
      <c r="U90" t="s">
        <v>31</v>
      </c>
      <c r="V90" t="s">
        <v>29</v>
      </c>
      <c r="W90" t="s">
        <v>32</v>
      </c>
    </row>
    <row r="91" spans="1:23" x14ac:dyDescent="0.45">
      <c r="A91" t="str" cm="1">
        <f t="array" ref="A91">_xlfn.IFS(B91&lt;30, "18-29", B91&lt;45,"30-44",B91&gt;=45,"45-55+")</f>
        <v>45-55+</v>
      </c>
      <c r="B91">
        <v>66</v>
      </c>
      <c r="C91" t="s">
        <v>22</v>
      </c>
      <c r="D91" t="s">
        <v>49</v>
      </c>
      <c r="E91" t="s">
        <v>60</v>
      </c>
      <c r="F91" t="s">
        <v>41</v>
      </c>
      <c r="G91" t="s">
        <v>26</v>
      </c>
      <c r="H91" t="s">
        <v>83</v>
      </c>
      <c r="I91">
        <v>142</v>
      </c>
      <c r="J91">
        <v>102</v>
      </c>
      <c r="K91" t="s">
        <v>28</v>
      </c>
      <c r="L91" t="s">
        <v>28</v>
      </c>
      <c r="M91" t="s">
        <v>29</v>
      </c>
      <c r="N91" t="s">
        <v>28</v>
      </c>
      <c r="O91" t="s">
        <v>28</v>
      </c>
      <c r="P91" t="s">
        <v>28</v>
      </c>
      <c r="Q91" t="s">
        <v>28</v>
      </c>
      <c r="R91" t="s">
        <v>28</v>
      </c>
      <c r="S91" t="s">
        <v>28</v>
      </c>
      <c r="T91" t="s">
        <v>30</v>
      </c>
      <c r="U91" t="s">
        <v>31</v>
      </c>
      <c r="V91" t="s">
        <v>29</v>
      </c>
      <c r="W91" t="s">
        <v>32</v>
      </c>
    </row>
    <row r="92" spans="1:23" x14ac:dyDescent="0.45">
      <c r="A92" t="str" cm="1">
        <f t="array" ref="A92">_xlfn.IFS(B92&lt;30, "18-29", B92&lt;45,"30-44",B92&gt;=45,"45-55+")</f>
        <v>45-55+</v>
      </c>
      <c r="B92">
        <v>66</v>
      </c>
      <c r="C92" t="s">
        <v>33</v>
      </c>
      <c r="D92" t="s">
        <v>34</v>
      </c>
      <c r="E92" t="s">
        <v>55</v>
      </c>
      <c r="F92" t="s">
        <v>41</v>
      </c>
      <c r="G92" t="s">
        <v>26</v>
      </c>
      <c r="H92" t="s">
        <v>75</v>
      </c>
      <c r="I92">
        <v>108</v>
      </c>
      <c r="J92">
        <v>88</v>
      </c>
      <c r="K92" t="s">
        <v>28</v>
      </c>
      <c r="L92" t="s">
        <v>28</v>
      </c>
      <c r="M92" t="s">
        <v>29</v>
      </c>
      <c r="N92" t="s">
        <v>28</v>
      </c>
      <c r="O92" t="s">
        <v>28</v>
      </c>
      <c r="P92" t="s">
        <v>28</v>
      </c>
      <c r="Q92" t="s">
        <v>29</v>
      </c>
      <c r="R92" t="s">
        <v>28</v>
      </c>
      <c r="S92" t="s">
        <v>28</v>
      </c>
      <c r="T92" t="s">
        <v>30</v>
      </c>
      <c r="U92" t="s">
        <v>31</v>
      </c>
      <c r="V92" t="s">
        <v>29</v>
      </c>
      <c r="W92" t="s">
        <v>39</v>
      </c>
    </row>
    <row r="93" spans="1:23" x14ac:dyDescent="0.45">
      <c r="A93" t="str" cm="1">
        <f t="array" ref="A93">_xlfn.IFS(B93&lt;30, "18-29", B93&lt;45,"30-44",B93&gt;=45,"45-55+")</f>
        <v>45-55+</v>
      </c>
      <c r="B93">
        <v>69</v>
      </c>
      <c r="C93" t="s">
        <v>33</v>
      </c>
      <c r="D93" t="s">
        <v>49</v>
      </c>
      <c r="E93" t="s">
        <v>44</v>
      </c>
      <c r="F93" t="s">
        <v>25</v>
      </c>
      <c r="G93" t="s">
        <v>51</v>
      </c>
      <c r="H93" t="s">
        <v>87</v>
      </c>
      <c r="I93">
        <v>154</v>
      </c>
      <c r="J93">
        <v>79</v>
      </c>
      <c r="K93" t="s">
        <v>28</v>
      </c>
      <c r="L93" t="s">
        <v>28</v>
      </c>
      <c r="M93" t="s">
        <v>29</v>
      </c>
      <c r="N93" t="s">
        <v>28</v>
      </c>
      <c r="O93" t="s">
        <v>28</v>
      </c>
      <c r="P93" t="s">
        <v>28</v>
      </c>
      <c r="Q93" t="s">
        <v>28</v>
      </c>
      <c r="R93" t="s">
        <v>28</v>
      </c>
      <c r="S93" t="s">
        <v>28</v>
      </c>
      <c r="T93" t="s">
        <v>30</v>
      </c>
      <c r="U93" t="s">
        <v>31</v>
      </c>
      <c r="V93" t="s">
        <v>29</v>
      </c>
      <c r="W93" t="s">
        <v>32</v>
      </c>
    </row>
    <row r="94" spans="1:23" x14ac:dyDescent="0.45">
      <c r="A94" t="str" cm="1">
        <f t="array" ref="A94">_xlfn.IFS(B94&lt;30, "18-29", B94&lt;45,"30-44",B94&gt;=45,"45-55+")</f>
        <v>45-55+</v>
      </c>
      <c r="B94">
        <v>69</v>
      </c>
      <c r="C94" t="s">
        <v>33</v>
      </c>
      <c r="D94" t="s">
        <v>23</v>
      </c>
      <c r="E94" t="s">
        <v>60</v>
      </c>
      <c r="F94" t="s">
        <v>36</v>
      </c>
      <c r="G94" t="s">
        <v>51</v>
      </c>
      <c r="H94" t="s">
        <v>74</v>
      </c>
      <c r="I94">
        <v>167</v>
      </c>
      <c r="J94">
        <v>96</v>
      </c>
      <c r="K94" t="s">
        <v>28</v>
      </c>
      <c r="L94" t="s">
        <v>28</v>
      </c>
      <c r="M94" t="s">
        <v>29</v>
      </c>
      <c r="N94" t="s">
        <v>28</v>
      </c>
      <c r="O94" t="s">
        <v>28</v>
      </c>
      <c r="P94" t="s">
        <v>28</v>
      </c>
      <c r="Q94" t="s">
        <v>28</v>
      </c>
      <c r="R94" t="s">
        <v>28</v>
      </c>
      <c r="S94" t="s">
        <v>28</v>
      </c>
      <c r="T94" t="s">
        <v>30</v>
      </c>
      <c r="U94" t="s">
        <v>31</v>
      </c>
      <c r="V94" t="s">
        <v>29</v>
      </c>
      <c r="W94" t="s">
        <v>32</v>
      </c>
    </row>
    <row r="95" spans="1:23" x14ac:dyDescent="0.45">
      <c r="A95" t="str" cm="1">
        <f t="array" ref="A95">_xlfn.IFS(B95&lt;30, "18-29", B95&lt;45,"30-44",B95&gt;=45,"45-55+")</f>
        <v>45-55+</v>
      </c>
      <c r="B95">
        <v>70</v>
      </c>
      <c r="C95" t="s">
        <v>33</v>
      </c>
      <c r="D95" t="s">
        <v>49</v>
      </c>
      <c r="E95" t="s">
        <v>44</v>
      </c>
      <c r="F95" t="s">
        <v>36</v>
      </c>
      <c r="G95" t="s">
        <v>26</v>
      </c>
      <c r="H95" t="s">
        <v>50</v>
      </c>
      <c r="I95">
        <v>145</v>
      </c>
      <c r="J95">
        <v>84</v>
      </c>
      <c r="K95" t="s">
        <v>28</v>
      </c>
      <c r="L95" t="s">
        <v>29</v>
      </c>
      <c r="M95" t="s">
        <v>29</v>
      </c>
      <c r="N95" t="s">
        <v>28</v>
      </c>
      <c r="O95" t="s">
        <v>28</v>
      </c>
      <c r="P95" t="s">
        <v>28</v>
      </c>
      <c r="Q95" t="s">
        <v>28</v>
      </c>
      <c r="R95" t="s">
        <v>28</v>
      </c>
      <c r="S95" t="s">
        <v>28</v>
      </c>
      <c r="T95" t="s">
        <v>30</v>
      </c>
      <c r="U95" t="s">
        <v>38</v>
      </c>
      <c r="V95" t="s">
        <v>29</v>
      </c>
      <c r="W95" t="s">
        <v>32</v>
      </c>
    </row>
    <row r="96" spans="1:23" x14ac:dyDescent="0.45">
      <c r="A96" t="str" cm="1">
        <f t="array" ref="A96">_xlfn.IFS(B96&lt;30, "18-29", B96&lt;45,"30-44",B96&gt;=45,"45-55+")</f>
        <v>45-55+</v>
      </c>
      <c r="B96">
        <v>70</v>
      </c>
      <c r="C96" t="s">
        <v>33</v>
      </c>
      <c r="D96" t="s">
        <v>61</v>
      </c>
      <c r="E96" t="s">
        <v>44</v>
      </c>
      <c r="F96" t="s">
        <v>36</v>
      </c>
      <c r="G96" t="s">
        <v>51</v>
      </c>
      <c r="H96" t="s">
        <v>87</v>
      </c>
      <c r="I96">
        <v>141</v>
      </c>
      <c r="J96">
        <v>82</v>
      </c>
      <c r="K96" t="s">
        <v>28</v>
      </c>
      <c r="L96" t="s">
        <v>28</v>
      </c>
      <c r="M96" t="s">
        <v>29</v>
      </c>
      <c r="N96" t="s">
        <v>28</v>
      </c>
      <c r="O96" t="s">
        <v>28</v>
      </c>
      <c r="P96" t="s">
        <v>28</v>
      </c>
      <c r="Q96" t="s">
        <v>28</v>
      </c>
      <c r="R96" t="s">
        <v>28</v>
      </c>
      <c r="S96" t="s">
        <v>28</v>
      </c>
      <c r="T96" t="s">
        <v>30</v>
      </c>
      <c r="U96" t="s">
        <v>31</v>
      </c>
      <c r="V96" t="s">
        <v>29</v>
      </c>
      <c r="W96" t="s">
        <v>32</v>
      </c>
    </row>
    <row r="97" spans="1:23" x14ac:dyDescent="0.45">
      <c r="A97" t="str" cm="1">
        <f t="array" ref="A97">_xlfn.IFS(B97&lt;30, "18-29", B97&lt;45,"30-44",B97&gt;=45,"45-55+")</f>
        <v>45-55+</v>
      </c>
      <c r="B97">
        <v>74</v>
      </c>
      <c r="C97" t="s">
        <v>22</v>
      </c>
      <c r="D97" t="s">
        <v>58</v>
      </c>
      <c r="E97" t="s">
        <v>44</v>
      </c>
      <c r="F97" t="s">
        <v>25</v>
      </c>
      <c r="G97" t="s">
        <v>51</v>
      </c>
      <c r="H97" t="s">
        <v>70</v>
      </c>
      <c r="I97">
        <v>148</v>
      </c>
      <c r="J97">
        <v>86</v>
      </c>
      <c r="K97" t="s">
        <v>29</v>
      </c>
      <c r="L97" t="s">
        <v>28</v>
      </c>
      <c r="M97" t="s">
        <v>29</v>
      </c>
      <c r="N97" t="s">
        <v>28</v>
      </c>
      <c r="O97" t="s">
        <v>28</v>
      </c>
      <c r="P97" t="s">
        <v>28</v>
      </c>
      <c r="Q97" t="s">
        <v>28</v>
      </c>
      <c r="R97" t="s">
        <v>28</v>
      </c>
      <c r="S97" t="s">
        <v>28</v>
      </c>
      <c r="T97" t="s">
        <v>46</v>
      </c>
      <c r="U97" t="s">
        <v>31</v>
      </c>
      <c r="V97" t="s">
        <v>29</v>
      </c>
      <c r="W97" t="s">
        <v>32</v>
      </c>
    </row>
    <row r="98" spans="1:23" x14ac:dyDescent="0.45">
      <c r="A98" t="str" cm="1">
        <f t="array" ref="A98">_xlfn.IFS(B98&lt;30, "18-29", B98&lt;45,"30-44",B98&gt;=45,"45-55+")</f>
        <v>45-55+</v>
      </c>
      <c r="B98">
        <v>76</v>
      </c>
      <c r="C98" t="s">
        <v>22</v>
      </c>
      <c r="D98" t="s">
        <v>61</v>
      </c>
      <c r="E98" t="s">
        <v>44</v>
      </c>
      <c r="F98" t="s">
        <v>25</v>
      </c>
      <c r="G98" t="s">
        <v>51</v>
      </c>
      <c r="H98" t="s">
        <v>64</v>
      </c>
      <c r="I98">
        <v>144</v>
      </c>
      <c r="J98">
        <v>100</v>
      </c>
      <c r="K98" t="s">
        <v>28</v>
      </c>
      <c r="L98" t="s">
        <v>28</v>
      </c>
      <c r="M98" t="s">
        <v>29</v>
      </c>
      <c r="N98" t="s">
        <v>28</v>
      </c>
      <c r="O98" t="s">
        <v>28</v>
      </c>
      <c r="P98" t="s">
        <v>28</v>
      </c>
      <c r="Q98" t="s">
        <v>28</v>
      </c>
      <c r="R98" t="s">
        <v>28</v>
      </c>
      <c r="S98" t="s">
        <v>28</v>
      </c>
      <c r="T98" t="s">
        <v>30</v>
      </c>
      <c r="U98" t="s">
        <v>31</v>
      </c>
      <c r="V98" t="s">
        <v>29</v>
      </c>
      <c r="W98" t="s">
        <v>39</v>
      </c>
    </row>
    <row r="99" spans="1:23" x14ac:dyDescent="0.45">
      <c r="A99" t="str" cm="1">
        <f t="array" ref="A99">_xlfn.IFS(B99&lt;30, "18-29", B99&lt;45,"30-44",B99&gt;=45,"45-55+")</f>
        <v>45-55+</v>
      </c>
      <c r="B99">
        <v>77</v>
      </c>
      <c r="C99" t="s">
        <v>22</v>
      </c>
      <c r="D99" t="s">
        <v>49</v>
      </c>
      <c r="E99" t="s">
        <v>35</v>
      </c>
      <c r="F99" t="s">
        <v>36</v>
      </c>
      <c r="G99" t="s">
        <v>42</v>
      </c>
      <c r="H99" t="s">
        <v>65</v>
      </c>
      <c r="I99">
        <v>122</v>
      </c>
      <c r="J99">
        <v>89</v>
      </c>
      <c r="K99" t="s">
        <v>29</v>
      </c>
      <c r="L99" t="s">
        <v>28</v>
      </c>
      <c r="M99" t="s">
        <v>29</v>
      </c>
      <c r="N99" t="s">
        <v>28</v>
      </c>
      <c r="O99" t="s">
        <v>28</v>
      </c>
      <c r="P99" t="s">
        <v>28</v>
      </c>
      <c r="Q99" t="s">
        <v>28</v>
      </c>
      <c r="R99" t="s">
        <v>28</v>
      </c>
      <c r="S99" t="s">
        <v>28</v>
      </c>
      <c r="T99" t="s">
        <v>30</v>
      </c>
      <c r="U99" t="s">
        <v>31</v>
      </c>
      <c r="V99" t="s">
        <v>29</v>
      </c>
      <c r="W99" t="s">
        <v>39</v>
      </c>
    </row>
    <row r="100" spans="1:23" x14ac:dyDescent="0.45">
      <c r="A100" t="str" cm="1">
        <f t="array" ref="A100">_xlfn.IFS(B100&lt;30, "18-29", B100&lt;45,"30-44",B100&gt;=45,"45-55+")</f>
        <v>45-55+</v>
      </c>
      <c r="B100">
        <v>80</v>
      </c>
      <c r="C100" t="s">
        <v>33</v>
      </c>
      <c r="D100" t="s">
        <v>49</v>
      </c>
      <c r="E100" t="s">
        <v>35</v>
      </c>
      <c r="F100" t="s">
        <v>41</v>
      </c>
      <c r="G100" t="s">
        <v>51</v>
      </c>
      <c r="H100" t="s">
        <v>78</v>
      </c>
      <c r="I100">
        <v>156</v>
      </c>
      <c r="J100">
        <v>78</v>
      </c>
      <c r="K100" t="s">
        <v>28</v>
      </c>
      <c r="L100" t="s">
        <v>28</v>
      </c>
      <c r="M100" t="s">
        <v>28</v>
      </c>
      <c r="N100" t="s">
        <v>28</v>
      </c>
      <c r="O100" t="s">
        <v>29</v>
      </c>
      <c r="P100" t="s">
        <v>28</v>
      </c>
      <c r="Q100" t="s">
        <v>29</v>
      </c>
      <c r="R100" t="s">
        <v>28</v>
      </c>
      <c r="S100" t="s">
        <v>28</v>
      </c>
      <c r="T100" t="s">
        <v>30</v>
      </c>
      <c r="U100" t="s">
        <v>31</v>
      </c>
      <c r="V100" t="s">
        <v>29</v>
      </c>
      <c r="W100" t="s">
        <v>39</v>
      </c>
    </row>
    <row r="101" spans="1:23" x14ac:dyDescent="0.45">
      <c r="A101" t="str" cm="1">
        <f t="array" ref="A101">_xlfn.IFS(B101&lt;30, "18-29", B101&lt;45,"30-44",B101&gt;=45,"45-55+")</f>
        <v>45-55+</v>
      </c>
      <c r="B101">
        <v>82</v>
      </c>
      <c r="C101" t="s">
        <v>33</v>
      </c>
      <c r="D101" t="s">
        <v>23</v>
      </c>
      <c r="E101" t="s">
        <v>44</v>
      </c>
      <c r="F101" t="s">
        <v>36</v>
      </c>
      <c r="G101" t="s">
        <v>42</v>
      </c>
      <c r="H101" t="s">
        <v>73</v>
      </c>
      <c r="I101">
        <v>136</v>
      </c>
      <c r="J101">
        <v>98</v>
      </c>
      <c r="K101" t="s">
        <v>28</v>
      </c>
      <c r="L101" t="s">
        <v>28</v>
      </c>
      <c r="M101" t="s">
        <v>28</v>
      </c>
      <c r="N101" t="s">
        <v>28</v>
      </c>
      <c r="O101" t="s">
        <v>28</v>
      </c>
      <c r="P101" t="s">
        <v>28</v>
      </c>
      <c r="Q101" t="s">
        <v>28</v>
      </c>
      <c r="R101" t="s">
        <v>28</v>
      </c>
      <c r="S101" t="s">
        <v>28</v>
      </c>
      <c r="T101" t="s">
        <v>30</v>
      </c>
      <c r="U101" t="s">
        <v>31</v>
      </c>
      <c r="V101" t="s">
        <v>29</v>
      </c>
      <c r="W101" t="s">
        <v>39</v>
      </c>
    </row>
  </sheetData>
  <autoFilter ref="A1:W101" xr:uid="{FEEAA063-6717-41EA-B4D9-871EBA62435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9317-3BDD-4CD3-A176-343BBFFB30E4}">
  <dimension ref="A1:G164"/>
  <sheetViews>
    <sheetView topLeftCell="A89" zoomScale="112" zoomScaleNormal="112" workbookViewId="0">
      <selection activeCell="F120" sqref="F111:F120"/>
    </sheetView>
  </sheetViews>
  <sheetFormatPr defaultRowHeight="14.25" x14ac:dyDescent="0.45"/>
  <cols>
    <col min="1" max="1" width="12.06640625" bestFit="1" customWidth="1"/>
    <col min="2" max="2" width="19" bestFit="1" customWidth="1"/>
    <col min="3" max="3" width="19.796875" bestFit="1" customWidth="1"/>
    <col min="4" max="5" width="11.9296875" bestFit="1" customWidth="1"/>
    <col min="6" max="6" width="23.59765625" bestFit="1" customWidth="1"/>
    <col min="7" max="7" width="24.33203125" bestFit="1" customWidth="1"/>
    <col min="8" max="8" width="23.3984375" bestFit="1" customWidth="1"/>
    <col min="9" max="9" width="24.1328125" bestFit="1" customWidth="1"/>
    <col min="10" max="10" width="5.9296875" bestFit="1" customWidth="1"/>
    <col min="11" max="11" width="10.46484375" bestFit="1" customWidth="1"/>
    <col min="12" max="12" width="6.06640625" bestFit="1" customWidth="1"/>
    <col min="13" max="13" width="10.06640625" bestFit="1" customWidth="1"/>
    <col min="14" max="14" width="8.06640625" bestFit="1" customWidth="1"/>
    <col min="15" max="15" width="7.19921875" bestFit="1" customWidth="1"/>
    <col min="16" max="16" width="5.59765625" bestFit="1" customWidth="1"/>
    <col min="17" max="17" width="8.33203125" bestFit="1" customWidth="1"/>
    <col min="18" max="18" width="7.6640625" bestFit="1" customWidth="1"/>
    <col min="19" max="19" width="7.33203125" bestFit="1" customWidth="1"/>
    <col min="20" max="20" width="7.59765625" bestFit="1" customWidth="1"/>
    <col min="21" max="21" width="8.3984375" bestFit="1" customWidth="1"/>
    <col min="22" max="22" width="8.796875" bestFit="1" customWidth="1"/>
    <col min="23" max="23" width="6.1328125" bestFit="1" customWidth="1"/>
    <col min="24" max="24" width="10.796875" bestFit="1" customWidth="1"/>
    <col min="25" max="25" width="9.265625" bestFit="1" customWidth="1"/>
    <col min="26" max="26" width="7.3984375" bestFit="1" customWidth="1"/>
    <col min="27" max="27" width="8.3984375" bestFit="1" customWidth="1"/>
    <col min="28" max="28" width="6.9296875" bestFit="1" customWidth="1"/>
    <col min="29" max="29" width="13.19921875" bestFit="1" customWidth="1"/>
    <col min="30" max="30" width="5.3984375" bestFit="1" customWidth="1"/>
    <col min="31" max="31" width="8.265625" bestFit="1" customWidth="1"/>
    <col min="32" max="32" width="15.46484375" bestFit="1" customWidth="1"/>
    <col min="33" max="33" width="6.86328125" bestFit="1" customWidth="1"/>
    <col min="34" max="34" width="6.6640625" bestFit="1" customWidth="1"/>
    <col min="35" max="35" width="10.86328125" bestFit="1" customWidth="1"/>
    <col min="36" max="36" width="10.3984375" bestFit="1" customWidth="1"/>
    <col min="37" max="37" width="11.86328125" bestFit="1" customWidth="1"/>
    <col min="38" max="38" width="10.46484375" bestFit="1" customWidth="1"/>
    <col min="39" max="39" width="12" bestFit="1" customWidth="1"/>
    <col min="40" max="40" width="10.3984375" bestFit="1" customWidth="1"/>
    <col min="41" max="41" width="5.46484375" bestFit="1" customWidth="1"/>
    <col min="42" max="42" width="7.9296875" bestFit="1" customWidth="1"/>
    <col min="43" max="43" width="6.73046875" bestFit="1" customWidth="1"/>
    <col min="44" max="44" width="11.9296875" bestFit="1" customWidth="1"/>
    <col min="45" max="45" width="8.59765625" bestFit="1" customWidth="1"/>
    <col min="46" max="46" width="13.9296875" bestFit="1" customWidth="1"/>
    <col min="47" max="47" width="7.86328125" bestFit="1" customWidth="1"/>
    <col min="48" max="48" width="6.796875" bestFit="1" customWidth="1"/>
    <col min="49" max="49" width="8.9296875" bestFit="1" customWidth="1"/>
    <col min="50" max="50" width="5.19921875" bestFit="1" customWidth="1"/>
    <col min="51" max="51" width="6.9296875" bestFit="1" customWidth="1"/>
    <col min="52" max="52" width="14.1328125" bestFit="1" customWidth="1"/>
    <col min="53" max="53" width="10.19921875" bestFit="1" customWidth="1"/>
  </cols>
  <sheetData>
    <row r="1" spans="1:3" x14ac:dyDescent="0.45">
      <c r="A1" s="2" t="s">
        <v>6</v>
      </c>
      <c r="B1" t="s">
        <v>106</v>
      </c>
    </row>
    <row r="2" spans="1:3" x14ac:dyDescent="0.45">
      <c r="A2" s="2" t="s">
        <v>9</v>
      </c>
      <c r="B2" t="s">
        <v>106</v>
      </c>
    </row>
    <row r="3" spans="1:3" x14ac:dyDescent="0.45">
      <c r="A3" s="2" t="s">
        <v>17</v>
      </c>
      <c r="B3" t="s">
        <v>106</v>
      </c>
    </row>
    <row r="4" spans="1:3" x14ac:dyDescent="0.45">
      <c r="A4" s="2" t="s">
        <v>16</v>
      </c>
      <c r="B4" t="s">
        <v>106</v>
      </c>
    </row>
    <row r="5" spans="1:3" x14ac:dyDescent="0.45">
      <c r="A5" s="2" t="s">
        <v>15</v>
      </c>
      <c r="B5" t="s">
        <v>106</v>
      </c>
    </row>
    <row r="6" spans="1:3" x14ac:dyDescent="0.45">
      <c r="A6" s="2" t="s">
        <v>10</v>
      </c>
      <c r="B6" t="s">
        <v>106</v>
      </c>
    </row>
    <row r="7" spans="1:3" x14ac:dyDescent="0.45">
      <c r="A7" s="2" t="s">
        <v>11</v>
      </c>
      <c r="B7" t="s">
        <v>106</v>
      </c>
    </row>
    <row r="8" spans="1:3" x14ac:dyDescent="0.45">
      <c r="A8" s="2" t="s">
        <v>12</v>
      </c>
      <c r="B8" t="s">
        <v>106</v>
      </c>
    </row>
    <row r="9" spans="1:3" x14ac:dyDescent="0.45">
      <c r="A9" s="2" t="s">
        <v>14</v>
      </c>
      <c r="B9" t="s">
        <v>106</v>
      </c>
    </row>
    <row r="10" spans="1:3" x14ac:dyDescent="0.45">
      <c r="A10" s="2" t="s">
        <v>13</v>
      </c>
      <c r="B10" t="s">
        <v>106</v>
      </c>
    </row>
    <row r="12" spans="1:3" x14ac:dyDescent="0.45">
      <c r="A12" s="2" t="s">
        <v>103</v>
      </c>
      <c r="B12" t="s">
        <v>107</v>
      </c>
      <c r="C12" t="s">
        <v>108</v>
      </c>
    </row>
    <row r="13" spans="1:3" x14ac:dyDescent="0.45">
      <c r="A13" s="3" t="s">
        <v>22</v>
      </c>
      <c r="B13" s="4">
        <v>178</v>
      </c>
      <c r="C13" s="4">
        <v>109</v>
      </c>
    </row>
    <row r="14" spans="1:3" x14ac:dyDescent="0.45">
      <c r="A14" s="3" t="s">
        <v>33</v>
      </c>
      <c r="B14" s="4">
        <v>174</v>
      </c>
      <c r="C14" s="4">
        <v>108</v>
      </c>
    </row>
    <row r="15" spans="1:3" x14ac:dyDescent="0.45">
      <c r="A15" s="3" t="s">
        <v>104</v>
      </c>
      <c r="B15" s="4">
        <v>178</v>
      </c>
      <c r="C15" s="4">
        <v>109</v>
      </c>
    </row>
    <row r="19" spans="1:5" x14ac:dyDescent="0.45">
      <c r="A19" s="2" t="s">
        <v>109</v>
      </c>
      <c r="B19" s="2" t="s">
        <v>105</v>
      </c>
    </row>
    <row r="20" spans="1:5" x14ac:dyDescent="0.45">
      <c r="A20" s="2" t="s">
        <v>103</v>
      </c>
      <c r="B20" t="s">
        <v>26</v>
      </c>
      <c r="C20" t="s">
        <v>42</v>
      </c>
      <c r="D20" t="s">
        <v>51</v>
      </c>
      <c r="E20" t="s">
        <v>104</v>
      </c>
    </row>
    <row r="21" spans="1:5" x14ac:dyDescent="0.45">
      <c r="A21" s="3" t="s">
        <v>112</v>
      </c>
      <c r="B21" s="4">
        <v>145</v>
      </c>
      <c r="C21" s="4"/>
      <c r="D21" s="4">
        <v>144.5</v>
      </c>
      <c r="E21" s="4">
        <v>144.80000000000001</v>
      </c>
    </row>
    <row r="22" spans="1:5" x14ac:dyDescent="0.45">
      <c r="A22" s="3" t="s">
        <v>113</v>
      </c>
      <c r="B22" s="4">
        <v>142.84615384615384</v>
      </c>
      <c r="C22" s="4">
        <v>149</v>
      </c>
      <c r="D22" s="4">
        <v>139.46666666666667</v>
      </c>
      <c r="E22" s="4">
        <v>143.13157894736841</v>
      </c>
    </row>
    <row r="23" spans="1:5" x14ac:dyDescent="0.45">
      <c r="A23" s="3" t="s">
        <v>114</v>
      </c>
      <c r="B23" s="4">
        <v>145.36000000000001</v>
      </c>
      <c r="C23" s="4">
        <v>139.80000000000001</v>
      </c>
      <c r="D23" s="4">
        <v>143.13636363636363</v>
      </c>
      <c r="E23" s="4">
        <v>143.52631578947367</v>
      </c>
    </row>
    <row r="24" spans="1:5" x14ac:dyDescent="0.45">
      <c r="A24" s="3" t="s">
        <v>104</v>
      </c>
      <c r="B24" s="4">
        <v>144.53658536585365</v>
      </c>
      <c r="C24" s="4">
        <v>144.4</v>
      </c>
      <c r="D24" s="4">
        <v>141.7948717948718</v>
      </c>
      <c r="E24" s="4">
        <v>143.44</v>
      </c>
    </row>
    <row r="29" spans="1:5" x14ac:dyDescent="0.45">
      <c r="A29" s="2" t="s">
        <v>111</v>
      </c>
      <c r="B29" t="s">
        <v>106</v>
      </c>
    </row>
    <row r="30" spans="1:5" x14ac:dyDescent="0.45">
      <c r="A30" s="2" t="s">
        <v>1</v>
      </c>
      <c r="B30" t="s">
        <v>106</v>
      </c>
    </row>
    <row r="31" spans="1:5" x14ac:dyDescent="0.45">
      <c r="A31" s="2" t="s">
        <v>5</v>
      </c>
      <c r="B31" t="s">
        <v>106</v>
      </c>
    </row>
    <row r="32" spans="1:5" x14ac:dyDescent="0.45">
      <c r="A32" s="2" t="s">
        <v>13</v>
      </c>
      <c r="B32" t="s">
        <v>106</v>
      </c>
    </row>
    <row r="34" spans="1:3" x14ac:dyDescent="0.45">
      <c r="A34" s="2" t="s">
        <v>103</v>
      </c>
      <c r="B34" t="s">
        <v>109</v>
      </c>
      <c r="C34" t="s">
        <v>110</v>
      </c>
    </row>
    <row r="35" spans="1:3" x14ac:dyDescent="0.45">
      <c r="A35" s="3" t="s">
        <v>28</v>
      </c>
      <c r="B35" s="4">
        <v>143.75</v>
      </c>
      <c r="C35" s="4">
        <v>88</v>
      </c>
    </row>
    <row r="36" spans="1:3" x14ac:dyDescent="0.45">
      <c r="A36" s="3" t="s">
        <v>29</v>
      </c>
      <c r="B36" s="4">
        <v>143.34210526315789</v>
      </c>
      <c r="C36" s="4">
        <v>88.94736842105263</v>
      </c>
    </row>
    <row r="37" spans="1:3" x14ac:dyDescent="0.45">
      <c r="A37" s="3" t="s">
        <v>104</v>
      </c>
      <c r="B37" s="4">
        <v>143.44</v>
      </c>
      <c r="C37" s="4">
        <v>88.72</v>
      </c>
    </row>
    <row r="47" spans="1:3" x14ac:dyDescent="0.45">
      <c r="A47" s="2" t="s">
        <v>111</v>
      </c>
      <c r="B47" t="s">
        <v>106</v>
      </c>
    </row>
    <row r="48" spans="1:3" x14ac:dyDescent="0.45">
      <c r="A48" s="2" t="s">
        <v>1</v>
      </c>
      <c r="B48" t="s">
        <v>106</v>
      </c>
    </row>
    <row r="49" spans="1:7" x14ac:dyDescent="0.45">
      <c r="A49" s="2" t="s">
        <v>10</v>
      </c>
      <c r="B49" t="s">
        <v>106</v>
      </c>
    </row>
    <row r="50" spans="1:7" x14ac:dyDescent="0.45">
      <c r="A50" s="2" t="s">
        <v>16</v>
      </c>
      <c r="B50" t="s">
        <v>106</v>
      </c>
    </row>
    <row r="52" spans="1:7" x14ac:dyDescent="0.45">
      <c r="B52" s="2" t="s">
        <v>105</v>
      </c>
    </row>
    <row r="53" spans="1:7" x14ac:dyDescent="0.45">
      <c r="B53" t="s">
        <v>109</v>
      </c>
      <c r="D53" t="s">
        <v>110</v>
      </c>
      <c r="F53" t="s">
        <v>115</v>
      </c>
      <c r="G53" t="s">
        <v>116</v>
      </c>
    </row>
    <row r="54" spans="1:7" x14ac:dyDescent="0.45">
      <c r="A54" s="2" t="s">
        <v>103</v>
      </c>
      <c r="B54" t="s">
        <v>38</v>
      </c>
      <c r="C54" t="s">
        <v>31</v>
      </c>
      <c r="D54" t="s">
        <v>38</v>
      </c>
      <c r="E54" t="s">
        <v>31</v>
      </c>
    </row>
    <row r="55" spans="1:7" x14ac:dyDescent="0.45">
      <c r="A55" s="3" t="s">
        <v>30</v>
      </c>
      <c r="B55" s="4">
        <v>144.05555555555554</v>
      </c>
      <c r="C55" s="4">
        <v>142.59322033898306</v>
      </c>
      <c r="D55" s="4">
        <v>88.277777777777771</v>
      </c>
      <c r="E55" s="4">
        <v>88.711864406779668</v>
      </c>
      <c r="F55" s="4">
        <v>142.93506493506493</v>
      </c>
      <c r="G55" s="4">
        <v>88.610389610389603</v>
      </c>
    </row>
    <row r="56" spans="1:7" x14ac:dyDescent="0.45">
      <c r="A56" s="3" t="s">
        <v>46</v>
      </c>
      <c r="B56" s="4">
        <v>136.57142857142858</v>
      </c>
      <c r="C56" s="4">
        <v>148.875</v>
      </c>
      <c r="D56" s="4">
        <v>93.857142857142861</v>
      </c>
      <c r="E56" s="4">
        <v>87</v>
      </c>
      <c r="F56" s="4">
        <v>145.13043478260869</v>
      </c>
      <c r="G56" s="4">
        <v>89.086956521739125</v>
      </c>
    </row>
    <row r="57" spans="1:7" x14ac:dyDescent="0.45">
      <c r="A57" s="3" t="s">
        <v>104</v>
      </c>
      <c r="B57" s="4">
        <v>141.96</v>
      </c>
      <c r="C57" s="4">
        <v>143.93333333333334</v>
      </c>
      <c r="D57" s="4">
        <v>89.84</v>
      </c>
      <c r="E57" s="4">
        <v>88.346666666666664</v>
      </c>
      <c r="F57" s="4">
        <v>143.44</v>
      </c>
      <c r="G57" s="4">
        <v>88.72</v>
      </c>
    </row>
    <row r="79" spans="1:2" x14ac:dyDescent="0.45">
      <c r="A79" s="2" t="s">
        <v>111</v>
      </c>
      <c r="B79" t="s">
        <v>106</v>
      </c>
    </row>
    <row r="80" spans="1:2" x14ac:dyDescent="0.45">
      <c r="A80" s="2" t="s">
        <v>1</v>
      </c>
      <c r="B80" t="s">
        <v>106</v>
      </c>
    </row>
    <row r="81" spans="1:3" x14ac:dyDescent="0.45">
      <c r="A81" s="2" t="s">
        <v>5</v>
      </c>
      <c r="B81" t="s">
        <v>106</v>
      </c>
    </row>
    <row r="83" spans="1:3" x14ac:dyDescent="0.45">
      <c r="A83" s="2" t="s">
        <v>103</v>
      </c>
      <c r="B83" t="s">
        <v>109</v>
      </c>
      <c r="C83" t="s">
        <v>110</v>
      </c>
    </row>
    <row r="84" spans="1:3" x14ac:dyDescent="0.45">
      <c r="A84" s="3" t="s">
        <v>28</v>
      </c>
      <c r="B84" s="4">
        <v>142.15730337078651</v>
      </c>
      <c r="C84" s="4">
        <v>88.730337078651687</v>
      </c>
    </row>
    <row r="85" spans="1:3" x14ac:dyDescent="0.45">
      <c r="A85" s="6" t="s">
        <v>32</v>
      </c>
      <c r="B85" s="4">
        <v>142.08333333333334</v>
      </c>
      <c r="C85" s="4">
        <v>88.604166666666671</v>
      </c>
    </row>
    <row r="86" spans="1:3" x14ac:dyDescent="0.45">
      <c r="A86" s="6" t="s">
        <v>39</v>
      </c>
      <c r="B86" s="4">
        <v>142.2439024390244</v>
      </c>
      <c r="C86" s="4">
        <v>88.878048780487802</v>
      </c>
    </row>
    <row r="87" spans="1:3" x14ac:dyDescent="0.45">
      <c r="A87" s="3" t="s">
        <v>29</v>
      </c>
      <c r="B87" s="4">
        <v>153.81818181818181</v>
      </c>
      <c r="C87" s="4">
        <v>88.63636363636364</v>
      </c>
    </row>
    <row r="88" spans="1:3" x14ac:dyDescent="0.45">
      <c r="A88" s="6" t="s">
        <v>32</v>
      </c>
      <c r="B88" s="4">
        <v>150.75</v>
      </c>
      <c r="C88" s="4">
        <v>88.25</v>
      </c>
    </row>
    <row r="89" spans="1:3" x14ac:dyDescent="0.45">
      <c r="A89" s="6" t="s">
        <v>39</v>
      </c>
      <c r="B89" s="4">
        <v>162</v>
      </c>
      <c r="C89" s="4">
        <v>89.666666666666671</v>
      </c>
    </row>
    <row r="90" spans="1:3" x14ac:dyDescent="0.45">
      <c r="A90" s="3" t="s">
        <v>104</v>
      </c>
      <c r="B90" s="4">
        <v>143.44</v>
      </c>
      <c r="C90" s="4">
        <v>88.72</v>
      </c>
    </row>
    <row r="107" spans="1:3" x14ac:dyDescent="0.45">
      <c r="A107" s="2" t="s">
        <v>111</v>
      </c>
      <c r="B107" t="s">
        <v>106</v>
      </c>
    </row>
    <row r="108" spans="1:3" x14ac:dyDescent="0.45">
      <c r="A108" s="2" t="s">
        <v>1</v>
      </c>
      <c r="B108" t="s">
        <v>106</v>
      </c>
    </row>
    <row r="109" spans="1:3" x14ac:dyDescent="0.45">
      <c r="A109" s="2" t="s">
        <v>20</v>
      </c>
      <c r="B109" t="s">
        <v>106</v>
      </c>
    </row>
    <row r="110" spans="1:3" x14ac:dyDescent="0.45">
      <c r="A110" s="2" t="s">
        <v>18</v>
      </c>
      <c r="B110" t="s">
        <v>106</v>
      </c>
    </row>
    <row r="112" spans="1:3" x14ac:dyDescent="0.45">
      <c r="A112" s="2" t="s">
        <v>103</v>
      </c>
      <c r="B112" t="s">
        <v>109</v>
      </c>
      <c r="C112" t="s">
        <v>110</v>
      </c>
    </row>
    <row r="113" spans="1:3" x14ac:dyDescent="0.45">
      <c r="A113" s="3" t="s">
        <v>27</v>
      </c>
      <c r="B113" s="4">
        <v>135</v>
      </c>
      <c r="C113" s="4">
        <v>100.5</v>
      </c>
    </row>
    <row r="114" spans="1:3" x14ac:dyDescent="0.45">
      <c r="A114" s="3" t="s">
        <v>90</v>
      </c>
      <c r="B114" s="4">
        <v>145</v>
      </c>
      <c r="C114" s="4">
        <v>81</v>
      </c>
    </row>
    <row r="115" spans="1:3" x14ac:dyDescent="0.45">
      <c r="A115" s="3" t="s">
        <v>75</v>
      </c>
      <c r="B115" s="4">
        <v>140</v>
      </c>
      <c r="C115" s="4">
        <v>89</v>
      </c>
    </row>
    <row r="116" spans="1:3" x14ac:dyDescent="0.45">
      <c r="A116" s="3" t="s">
        <v>50</v>
      </c>
      <c r="B116" s="4">
        <v>147.33333333333334</v>
      </c>
      <c r="C116" s="4">
        <v>77</v>
      </c>
    </row>
    <row r="117" spans="1:3" x14ac:dyDescent="0.45">
      <c r="A117" s="3" t="s">
        <v>47</v>
      </c>
      <c r="B117" s="4">
        <v>146</v>
      </c>
      <c r="C117" s="4">
        <v>93</v>
      </c>
    </row>
    <row r="118" spans="1:3" x14ac:dyDescent="0.45">
      <c r="A118" s="3" t="s">
        <v>99</v>
      </c>
      <c r="B118" s="4">
        <v>150</v>
      </c>
      <c r="C118" s="4">
        <v>80</v>
      </c>
    </row>
    <row r="119" spans="1:3" x14ac:dyDescent="0.45">
      <c r="A119" s="3" t="s">
        <v>87</v>
      </c>
      <c r="B119" s="4">
        <v>145</v>
      </c>
      <c r="C119" s="4">
        <v>82.666666666666671</v>
      </c>
    </row>
    <row r="120" spans="1:3" x14ac:dyDescent="0.45">
      <c r="A120" s="3" t="s">
        <v>64</v>
      </c>
      <c r="B120" s="4">
        <v>144</v>
      </c>
      <c r="C120" s="4">
        <v>84.666666666666671</v>
      </c>
    </row>
    <row r="121" spans="1:3" x14ac:dyDescent="0.45">
      <c r="A121" s="3" t="s">
        <v>69</v>
      </c>
      <c r="B121" s="4">
        <v>130</v>
      </c>
      <c r="C121" s="4">
        <v>89</v>
      </c>
    </row>
    <row r="122" spans="1:3" x14ac:dyDescent="0.45">
      <c r="A122" s="3" t="s">
        <v>71</v>
      </c>
      <c r="B122" s="4">
        <v>138.33333333333334</v>
      </c>
      <c r="C122" s="4">
        <v>95.666666666666671</v>
      </c>
    </row>
    <row r="123" spans="1:3" x14ac:dyDescent="0.45">
      <c r="A123" s="3" t="s">
        <v>95</v>
      </c>
      <c r="B123" s="4">
        <v>120</v>
      </c>
      <c r="C123" s="4">
        <v>86</v>
      </c>
    </row>
    <row r="124" spans="1:3" x14ac:dyDescent="0.45">
      <c r="A124" s="3" t="s">
        <v>88</v>
      </c>
      <c r="B124" s="4">
        <v>147.5</v>
      </c>
      <c r="C124" s="4">
        <v>89</v>
      </c>
    </row>
    <row r="125" spans="1:3" x14ac:dyDescent="0.45">
      <c r="A125" s="3" t="s">
        <v>92</v>
      </c>
      <c r="B125" s="4">
        <v>153</v>
      </c>
      <c r="C125" s="4">
        <v>86.5</v>
      </c>
    </row>
    <row r="126" spans="1:3" x14ac:dyDescent="0.45">
      <c r="A126" s="3" t="s">
        <v>73</v>
      </c>
      <c r="B126" s="4">
        <v>134.66666666666666</v>
      </c>
      <c r="C126" s="4">
        <v>92.666666666666671</v>
      </c>
    </row>
    <row r="127" spans="1:3" x14ac:dyDescent="0.45">
      <c r="A127" s="3" t="s">
        <v>54</v>
      </c>
      <c r="B127" s="4">
        <v>151</v>
      </c>
      <c r="C127" s="4">
        <v>81</v>
      </c>
    </row>
    <row r="128" spans="1:3" x14ac:dyDescent="0.45">
      <c r="A128" s="3" t="s">
        <v>45</v>
      </c>
      <c r="B128" s="4">
        <v>151</v>
      </c>
      <c r="C128" s="4">
        <v>87</v>
      </c>
    </row>
    <row r="129" spans="1:3" x14ac:dyDescent="0.45">
      <c r="A129" s="3" t="s">
        <v>56</v>
      </c>
      <c r="B129" s="4">
        <v>149</v>
      </c>
      <c r="C129" s="4">
        <v>97</v>
      </c>
    </row>
    <row r="130" spans="1:3" x14ac:dyDescent="0.45">
      <c r="A130" s="3" t="s">
        <v>79</v>
      </c>
      <c r="B130" s="4">
        <v>147.5</v>
      </c>
      <c r="C130" s="4">
        <v>97.5</v>
      </c>
    </row>
    <row r="131" spans="1:3" x14ac:dyDescent="0.45">
      <c r="A131" s="3" t="s">
        <v>78</v>
      </c>
      <c r="B131" s="4">
        <v>134.5</v>
      </c>
      <c r="C131" s="4">
        <v>88.5</v>
      </c>
    </row>
    <row r="132" spans="1:3" x14ac:dyDescent="0.45">
      <c r="A132" s="3" t="s">
        <v>43</v>
      </c>
      <c r="B132" s="4">
        <v>133</v>
      </c>
      <c r="C132" s="4">
        <v>100</v>
      </c>
    </row>
    <row r="133" spans="1:3" x14ac:dyDescent="0.45">
      <c r="A133" s="3" t="s">
        <v>62</v>
      </c>
      <c r="B133" s="4">
        <v>147.5</v>
      </c>
      <c r="C133" s="4">
        <v>91</v>
      </c>
    </row>
    <row r="134" spans="1:3" x14ac:dyDescent="0.45">
      <c r="A134" s="3" t="s">
        <v>67</v>
      </c>
      <c r="B134" s="4">
        <v>149.5</v>
      </c>
      <c r="C134" s="4">
        <v>78.25</v>
      </c>
    </row>
    <row r="135" spans="1:3" x14ac:dyDescent="0.45">
      <c r="A135" s="3" t="s">
        <v>84</v>
      </c>
      <c r="B135" s="4">
        <v>138</v>
      </c>
      <c r="C135" s="4">
        <v>83</v>
      </c>
    </row>
    <row r="136" spans="1:3" x14ac:dyDescent="0.45">
      <c r="A136" s="3" t="s">
        <v>37</v>
      </c>
      <c r="B136" s="4">
        <v>147.25</v>
      </c>
      <c r="C136" s="4">
        <v>84</v>
      </c>
    </row>
    <row r="137" spans="1:3" x14ac:dyDescent="0.45">
      <c r="A137" s="3" t="s">
        <v>98</v>
      </c>
      <c r="B137" s="4">
        <v>170</v>
      </c>
      <c r="C137" s="4">
        <v>91</v>
      </c>
    </row>
    <row r="138" spans="1:3" x14ac:dyDescent="0.45">
      <c r="A138" s="3" t="s">
        <v>83</v>
      </c>
      <c r="B138" s="4">
        <v>142.33333333333334</v>
      </c>
      <c r="C138" s="4">
        <v>87.666666666666671</v>
      </c>
    </row>
    <row r="139" spans="1:3" x14ac:dyDescent="0.45">
      <c r="A139" s="3" t="s">
        <v>86</v>
      </c>
      <c r="B139" s="4">
        <v>164</v>
      </c>
      <c r="C139" s="4">
        <v>103</v>
      </c>
    </row>
    <row r="140" spans="1:3" x14ac:dyDescent="0.45">
      <c r="A140" s="3" t="s">
        <v>77</v>
      </c>
      <c r="B140" s="4">
        <v>142.5</v>
      </c>
      <c r="C140" s="4">
        <v>82.5</v>
      </c>
    </row>
    <row r="141" spans="1:3" x14ac:dyDescent="0.45">
      <c r="A141" s="3" t="s">
        <v>82</v>
      </c>
      <c r="B141" s="4">
        <v>135</v>
      </c>
      <c r="C141" s="4">
        <v>91</v>
      </c>
    </row>
    <row r="142" spans="1:3" x14ac:dyDescent="0.45">
      <c r="A142" s="3" t="s">
        <v>59</v>
      </c>
      <c r="B142" s="4">
        <v>136.75</v>
      </c>
      <c r="C142" s="4">
        <v>91.75</v>
      </c>
    </row>
    <row r="143" spans="1:3" x14ac:dyDescent="0.45">
      <c r="A143" s="3" t="s">
        <v>100</v>
      </c>
      <c r="B143" s="4">
        <v>137.5</v>
      </c>
      <c r="C143" s="4">
        <v>83</v>
      </c>
    </row>
    <row r="144" spans="1:3" x14ac:dyDescent="0.45">
      <c r="A144" s="3" t="s">
        <v>74</v>
      </c>
      <c r="B144" s="4">
        <v>142.66666666666666</v>
      </c>
      <c r="C144" s="4">
        <v>100.33333333333333</v>
      </c>
    </row>
    <row r="145" spans="1:3" x14ac:dyDescent="0.45">
      <c r="A145" s="3" t="s">
        <v>96</v>
      </c>
      <c r="B145" s="4">
        <v>138</v>
      </c>
      <c r="C145" s="4">
        <v>80</v>
      </c>
    </row>
    <row r="146" spans="1:3" x14ac:dyDescent="0.45">
      <c r="A146" s="3" t="s">
        <v>48</v>
      </c>
      <c r="B146" s="4">
        <v>146</v>
      </c>
      <c r="C146" s="4">
        <v>94</v>
      </c>
    </row>
    <row r="147" spans="1:3" x14ac:dyDescent="0.45">
      <c r="A147" s="3" t="s">
        <v>57</v>
      </c>
      <c r="B147" s="4">
        <v>145</v>
      </c>
      <c r="C147" s="4">
        <v>95</v>
      </c>
    </row>
    <row r="148" spans="1:3" x14ac:dyDescent="0.45">
      <c r="A148" s="3" t="s">
        <v>89</v>
      </c>
      <c r="B148" s="4">
        <v>145</v>
      </c>
      <c r="C148" s="4">
        <v>108</v>
      </c>
    </row>
    <row r="149" spans="1:3" x14ac:dyDescent="0.45">
      <c r="A149" s="3" t="s">
        <v>76</v>
      </c>
      <c r="B149" s="4">
        <v>138</v>
      </c>
      <c r="C149" s="4">
        <v>93.25</v>
      </c>
    </row>
    <row r="150" spans="1:3" x14ac:dyDescent="0.45">
      <c r="A150" s="3" t="s">
        <v>97</v>
      </c>
      <c r="B150" s="4">
        <v>130</v>
      </c>
      <c r="C150" s="4">
        <v>90</v>
      </c>
    </row>
    <row r="151" spans="1:3" x14ac:dyDescent="0.45">
      <c r="A151" s="3" t="s">
        <v>70</v>
      </c>
      <c r="B151" s="4">
        <v>138.25</v>
      </c>
      <c r="C151" s="4">
        <v>92.25</v>
      </c>
    </row>
    <row r="152" spans="1:3" x14ac:dyDescent="0.45">
      <c r="A152" s="3" t="s">
        <v>91</v>
      </c>
      <c r="B152" s="4">
        <v>119</v>
      </c>
      <c r="C152" s="4">
        <v>74</v>
      </c>
    </row>
    <row r="153" spans="1:3" x14ac:dyDescent="0.45">
      <c r="A153" s="3" t="s">
        <v>52</v>
      </c>
      <c r="B153" s="4">
        <v>139.5</v>
      </c>
      <c r="C153" s="4">
        <v>85.5</v>
      </c>
    </row>
    <row r="154" spans="1:3" x14ac:dyDescent="0.45">
      <c r="A154" s="3" t="s">
        <v>94</v>
      </c>
      <c r="B154" s="4">
        <v>162</v>
      </c>
      <c r="C154" s="4">
        <v>90</v>
      </c>
    </row>
    <row r="155" spans="1:3" x14ac:dyDescent="0.45">
      <c r="A155" s="3" t="s">
        <v>63</v>
      </c>
      <c r="B155" s="4">
        <v>143.5</v>
      </c>
      <c r="C155" s="4">
        <v>90</v>
      </c>
    </row>
    <row r="156" spans="1:3" x14ac:dyDescent="0.45">
      <c r="A156" s="3" t="s">
        <v>102</v>
      </c>
      <c r="B156" s="4">
        <v>155</v>
      </c>
      <c r="C156" s="4">
        <v>84</v>
      </c>
    </row>
    <row r="157" spans="1:3" x14ac:dyDescent="0.45">
      <c r="A157" s="3" t="s">
        <v>81</v>
      </c>
      <c r="B157" s="4">
        <v>148.5</v>
      </c>
      <c r="C157" s="4">
        <v>92.5</v>
      </c>
    </row>
    <row r="158" spans="1:3" x14ac:dyDescent="0.45">
      <c r="A158" s="3" t="s">
        <v>80</v>
      </c>
      <c r="B158" s="4">
        <v>148</v>
      </c>
      <c r="C158" s="4">
        <v>84</v>
      </c>
    </row>
    <row r="159" spans="1:3" x14ac:dyDescent="0.45">
      <c r="A159" s="3" t="s">
        <v>68</v>
      </c>
      <c r="B159" s="4">
        <v>146.5</v>
      </c>
      <c r="C159" s="4">
        <v>92</v>
      </c>
    </row>
    <row r="160" spans="1:3" x14ac:dyDescent="0.45">
      <c r="A160" s="3" t="s">
        <v>65</v>
      </c>
      <c r="B160" s="4">
        <v>129</v>
      </c>
      <c r="C160" s="4">
        <v>85.5</v>
      </c>
    </row>
    <row r="161" spans="1:3" x14ac:dyDescent="0.45">
      <c r="A161" s="3" t="s">
        <v>66</v>
      </c>
      <c r="B161" s="4">
        <v>155</v>
      </c>
      <c r="C161" s="4">
        <v>93</v>
      </c>
    </row>
    <row r="162" spans="1:3" x14ac:dyDescent="0.45">
      <c r="A162" s="3" t="s">
        <v>101</v>
      </c>
      <c r="B162" s="4">
        <v>156</v>
      </c>
      <c r="C162" s="4">
        <v>79</v>
      </c>
    </row>
    <row r="163" spans="1:3" x14ac:dyDescent="0.45">
      <c r="A163" s="3" t="s">
        <v>72</v>
      </c>
      <c r="B163" s="4">
        <v>155</v>
      </c>
      <c r="C163" s="4">
        <v>91.5</v>
      </c>
    </row>
    <row r="164" spans="1:3" x14ac:dyDescent="0.45">
      <c r="A164" s="3" t="s">
        <v>104</v>
      </c>
      <c r="B164" s="4">
        <v>143.44</v>
      </c>
      <c r="C164" s="4">
        <v>88.72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4CB3-BE73-413F-8BDB-AB7C567ABB25}">
  <dimension ref="A1:T5"/>
  <sheetViews>
    <sheetView showGridLines="0" tabSelected="1" zoomScale="89" zoomScaleNormal="89" workbookViewId="0">
      <selection activeCell="Y61" sqref="Y61"/>
    </sheetView>
  </sheetViews>
  <sheetFormatPr defaultRowHeight="14.25" x14ac:dyDescent="0.45"/>
  <cols>
    <col min="20" max="20" width="9.53125" customWidth="1"/>
  </cols>
  <sheetData>
    <row r="1" spans="1:20" x14ac:dyDescent="0.45">
      <c r="A1" s="7"/>
      <c r="B1" s="7"/>
      <c r="C1" s="7"/>
      <c r="D1" s="7"/>
      <c r="E1" s="7"/>
      <c r="F1" s="7"/>
      <c r="G1" s="7"/>
      <c r="H1" s="7"/>
      <c r="I1" s="7"/>
      <c r="J1" s="7"/>
      <c r="K1" s="7"/>
      <c r="L1" s="7"/>
      <c r="M1" s="7"/>
      <c r="N1" s="7"/>
      <c r="O1" s="7"/>
      <c r="P1" s="7"/>
      <c r="Q1" s="7"/>
      <c r="R1" s="7"/>
      <c r="S1" s="7"/>
      <c r="T1" s="7"/>
    </row>
    <row r="2" spans="1:20" x14ac:dyDescent="0.45">
      <c r="A2" s="7"/>
      <c r="B2" s="7"/>
      <c r="C2" s="7"/>
      <c r="D2" s="7"/>
      <c r="E2" s="7"/>
      <c r="F2" s="7"/>
      <c r="G2" s="7"/>
      <c r="H2" s="7"/>
      <c r="I2" s="7"/>
      <c r="J2" s="7"/>
      <c r="K2" s="7"/>
      <c r="L2" s="7"/>
      <c r="M2" s="7"/>
      <c r="N2" s="7"/>
      <c r="O2" s="7"/>
      <c r="P2" s="7"/>
      <c r="Q2" s="7"/>
      <c r="R2" s="7"/>
      <c r="S2" s="7"/>
      <c r="T2" s="7"/>
    </row>
    <row r="3" spans="1:20" ht="30" x14ac:dyDescent="0.8">
      <c r="A3" s="7"/>
      <c r="B3" s="7"/>
      <c r="C3" s="7"/>
      <c r="D3" s="7"/>
      <c r="E3" s="7"/>
      <c r="F3" s="7"/>
      <c r="G3" s="7"/>
      <c r="H3" s="8" t="s">
        <v>117</v>
      </c>
      <c r="I3" s="7"/>
      <c r="J3" s="7"/>
      <c r="K3" s="7"/>
      <c r="L3" s="7"/>
      <c r="M3" s="7"/>
      <c r="N3" s="7"/>
      <c r="O3" s="7"/>
      <c r="P3" s="7"/>
      <c r="Q3" s="7"/>
      <c r="R3" s="7"/>
      <c r="S3" s="7"/>
      <c r="T3" s="7"/>
    </row>
    <row r="4" spans="1:20" x14ac:dyDescent="0.45">
      <c r="A4" s="7"/>
      <c r="B4" s="7"/>
      <c r="C4" s="7"/>
      <c r="D4" s="7"/>
      <c r="E4" s="7"/>
      <c r="F4" s="7"/>
      <c r="G4" s="7"/>
      <c r="H4" s="7"/>
      <c r="I4" s="7"/>
      <c r="J4" s="7"/>
      <c r="K4" s="7"/>
      <c r="L4" s="7"/>
      <c r="M4" s="7"/>
      <c r="N4" s="7"/>
      <c r="O4" s="7"/>
      <c r="P4" s="7"/>
      <c r="Q4" s="7"/>
      <c r="R4" s="7"/>
      <c r="S4" s="7"/>
      <c r="T4" s="7"/>
    </row>
    <row r="5" spans="1:20" x14ac:dyDescent="0.45">
      <c r="A5" s="7"/>
      <c r="B5" s="7"/>
      <c r="C5" s="7"/>
      <c r="D5" s="7"/>
      <c r="E5" s="7"/>
      <c r="F5" s="7"/>
      <c r="G5" s="7"/>
      <c r="H5" s="7"/>
      <c r="I5" s="7"/>
      <c r="J5" s="7"/>
      <c r="K5" s="7"/>
      <c r="L5" s="7"/>
      <c r="M5" s="7"/>
      <c r="N5" s="7"/>
      <c r="O5" s="7"/>
      <c r="P5" s="7"/>
      <c r="Q5" s="7"/>
      <c r="R5" s="7"/>
      <c r="S5" s="7"/>
      <c r="T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Hypertension UK</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Manuela Pacia</cp:lastModifiedBy>
  <dcterms:created xsi:type="dcterms:W3CDTF">2026-04-04T11:04:00Z</dcterms:created>
  <dcterms:modified xsi:type="dcterms:W3CDTF">2026-04-05T14:01:46Z</dcterms:modified>
</cp:coreProperties>
</file>